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5075" yWindow="0" windowWidth="13725" windowHeight="13740" activeTab="3"/>
  </bookViews>
  <sheets>
    <sheet name="L. COMPRAS" sheetId="1" r:id="rId1"/>
    <sheet name="L. VENTAS" sheetId="2" r:id="rId2"/>
    <sheet name="Honorarios" sheetId="7" r:id="rId3"/>
    <sheet name="FORMULARIO 29" sheetId="10" r:id="rId4"/>
    <sheet name="UTM" sheetId="9" r:id="rId5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O6" i="10" l="1"/>
  <c r="AM6" i="10" s="1"/>
  <c r="E92" i="2" l="1"/>
  <c r="E93" i="2" s="1"/>
  <c r="E94" i="2" l="1"/>
  <c r="C81" i="2" l="1"/>
</calcChain>
</file>

<file path=xl/comments1.xml><?xml version="1.0" encoding="utf-8"?>
<comments xmlns="http://schemas.openxmlformats.org/spreadsheetml/2006/main">
  <authors>
    <author>Memo</author>
  </authors>
  <commentList>
    <comment ref="L2" authorId="0">
      <text>
        <r>
          <rPr>
            <b/>
            <sz val="9"/>
            <color indexed="81"/>
            <rFont val="Tahoma"/>
            <family val="2"/>
          </rPr>
          <t>Memo:</t>
        </r>
        <r>
          <rPr>
            <sz val="9"/>
            <color indexed="81"/>
            <rFont val="Tahoma"/>
            <family val="2"/>
          </rPr>
          <t xml:space="preserve">
INGRESAR EN
L2    RAZON SOCIAL ó
L2    APELLIDO PATERNO
M2   APELLIDO MATERNO
N2   NOMBRES</t>
        </r>
      </text>
    </comment>
  </commentList>
</comments>
</file>

<file path=xl/comments2.xml><?xml version="1.0" encoding="utf-8"?>
<comments xmlns="http://schemas.openxmlformats.org/spreadsheetml/2006/main">
  <authors>
    <author>Memo</author>
  </authors>
  <commentList>
    <comment ref="O4" authorId="0">
      <text>
        <r>
          <rPr>
            <b/>
            <sz val="9"/>
            <color indexed="81"/>
            <rFont val="Tahoma"/>
            <family val="2"/>
          </rPr>
          <t>Memo:</t>
        </r>
        <r>
          <rPr>
            <sz val="9"/>
            <color indexed="81"/>
            <rFont val="Tahoma"/>
            <family val="2"/>
          </rPr>
          <t xml:space="preserve">
INGRESAR MANUALMENTE LA ULTIMA BOLETA DEL MES</t>
        </r>
      </text>
    </comment>
    <comment ref="O5" authorId="0">
      <text>
        <r>
          <rPr>
            <b/>
            <sz val="9"/>
            <color indexed="81"/>
            <rFont val="Tahoma"/>
            <family val="2"/>
          </rPr>
          <t>Memo:</t>
        </r>
        <r>
          <rPr>
            <sz val="9"/>
            <color indexed="81"/>
            <rFont val="Tahoma"/>
            <family val="2"/>
          </rPr>
          <t xml:space="preserve">
INGRESAR MANUALMENTE LA PRIMERA BOLETA DE VENTAS DEL MES</t>
        </r>
      </text>
    </comment>
    <comment ref="M19" authorId="0">
      <text>
        <r>
          <rPr>
            <b/>
            <sz val="9"/>
            <color indexed="81"/>
            <rFont val="Tahoma"/>
            <family val="2"/>
          </rPr>
          <t>Memo:</t>
        </r>
        <r>
          <rPr>
            <sz val="9"/>
            <color indexed="81"/>
            <rFont val="Tahoma"/>
            <family val="2"/>
          </rPr>
          <t xml:space="preserve">
DETERMINAR EL MARGEN DE GANANCIAS CON LAS QUE TRABAJA LA EMPRESA (20%; 25% O 30%</t>
        </r>
      </text>
    </comment>
    <comment ref="F84" authorId="0">
      <text>
        <r>
          <rPr>
            <b/>
            <sz val="9"/>
            <color indexed="81"/>
            <rFont val="Tahoma"/>
            <family val="2"/>
          </rPr>
          <t>Memo:</t>
        </r>
        <r>
          <rPr>
            <sz val="9"/>
            <color indexed="81"/>
            <rFont val="Tahoma"/>
            <family val="2"/>
          </rPr>
          <t xml:space="preserve">
VERIFICACION</t>
        </r>
      </text>
    </comment>
  </commentList>
</comments>
</file>

<file path=xl/sharedStrings.xml><?xml version="1.0" encoding="utf-8"?>
<sst xmlns="http://schemas.openxmlformats.org/spreadsheetml/2006/main" count="299" uniqueCount="224">
  <si>
    <t>LIBRO DE COMPRAS</t>
  </si>
  <si>
    <t xml:space="preserve">Nº DE </t>
  </si>
  <si>
    <t>DOCUMENTO</t>
  </si>
  <si>
    <t>NOMBRE DEL</t>
  </si>
  <si>
    <t>PROVEEDOR</t>
  </si>
  <si>
    <t>RUT</t>
  </si>
  <si>
    <t>ACTIVO</t>
  </si>
  <si>
    <t>FIJO</t>
  </si>
  <si>
    <t>EXENTO</t>
  </si>
  <si>
    <t>NETO</t>
  </si>
  <si>
    <t>IVA</t>
  </si>
  <si>
    <t>TOTAL</t>
  </si>
  <si>
    <t>FECHA</t>
  </si>
  <si>
    <t>SUMAS</t>
  </si>
  <si>
    <t>( + ) NOTAS DE DEBITO</t>
  </si>
  <si>
    <t>( - ) NOTAS DE CREDITO</t>
  </si>
  <si>
    <t xml:space="preserve">SUMAS </t>
  </si>
  <si>
    <t>TOTAL COMPRAS AFECTAS</t>
  </si>
  <si>
    <t>LIBRO VENTAS</t>
  </si>
  <si>
    <t>FACTURA Nº</t>
  </si>
  <si>
    <t xml:space="preserve">BOLETAS DEL/ HASTA </t>
  </si>
  <si>
    <t>VENTAS CON</t>
  </si>
  <si>
    <t>BOLETAS</t>
  </si>
  <si>
    <t>VENTAS</t>
  </si>
  <si>
    <t>EXENTAS</t>
  </si>
  <si>
    <t>CLIENTE</t>
  </si>
  <si>
    <t xml:space="preserve">AÑO: </t>
  </si>
  <si>
    <t>3 VENTAS NETAS</t>
  </si>
  <si>
    <t>1 COMPRAS AFECTAS</t>
  </si>
  <si>
    <t>FOLIO</t>
  </si>
  <si>
    <t>PERIODO TRIBUTARIO</t>
  </si>
  <si>
    <t>ROL UNICO TRIBUTARIO</t>
  </si>
  <si>
    <t>IMPUESTO AL VALOR AGREGADO D.L.825/74</t>
  </si>
  <si>
    <t>Cantidad de documentos</t>
  </si>
  <si>
    <t>Monto Neto</t>
  </si>
  <si>
    <t>No Genera Débito</t>
  </si>
  <si>
    <t>Exportaciones</t>
  </si>
  <si>
    <t>Ventas y/o Servicios prestados Internos Exentos, o No Gravados</t>
  </si>
  <si>
    <t>Débitos</t>
  </si>
  <si>
    <t>Genera Débito</t>
  </si>
  <si>
    <t>Facturas emitidas</t>
  </si>
  <si>
    <t>+</t>
  </si>
  <si>
    <t>Boletas</t>
  </si>
  <si>
    <t>Notas de Débito emitidas</t>
  </si>
  <si>
    <t>Notas de Crédito emitidas</t>
  </si>
  <si>
    <t>-</t>
  </si>
  <si>
    <t>=</t>
  </si>
  <si>
    <t>Con Derecho a Crédito</t>
  </si>
  <si>
    <t>Sin Derecho a Crédito</t>
  </si>
  <si>
    <t>Compras y/o Servicios Utilizados</t>
  </si>
  <si>
    <t>Internas exentas, o no gravadas</t>
  </si>
  <si>
    <t>Crédito, Recuperación y Reintegro</t>
  </si>
  <si>
    <t>Internas</t>
  </si>
  <si>
    <t>Facturas activo fijo</t>
  </si>
  <si>
    <t>Notas de Crédito recibidas</t>
  </si>
  <si>
    <t>Notas de Débito recibidas</t>
  </si>
  <si>
    <t>Certificado Imputación Art. 27 bis (Activo fijo)</t>
  </si>
  <si>
    <t>Monto Reintegrado por Devolución Indebida de Crédito Fiscal D.S. 348 (Exportadores)</t>
  </si>
  <si>
    <t>Base Imponible</t>
  </si>
  <si>
    <t>Tasa</t>
  </si>
  <si>
    <t>PPM</t>
  </si>
  <si>
    <t>01</t>
  </si>
  <si>
    <t>02</t>
  </si>
  <si>
    <t>05</t>
  </si>
  <si>
    <t>Nombres</t>
  </si>
  <si>
    <t>Cambia datos de Domicilio</t>
  </si>
  <si>
    <t>(Si marca con X el casillero, registre los cambios al reverso)</t>
  </si>
  <si>
    <t>Declaro bajo juramento que los datos contenidos en esta declaración son la expresión fiel de la verdad, por lo que asumo la responsabilidad correspondiente.</t>
  </si>
  <si>
    <t>Más IPC</t>
  </si>
  <si>
    <t>TOTAL A PAGAR CON RECARGO</t>
  </si>
  <si>
    <t>08</t>
  </si>
  <si>
    <t>IMPTO DETERMINADO</t>
  </si>
  <si>
    <t>o CREDITO DEL MES</t>
  </si>
  <si>
    <t>TOTAL A PAGAR</t>
  </si>
  <si>
    <t>CREDITO MES SGTE</t>
  </si>
  <si>
    <t>4 IVA DEBITOS</t>
  </si>
  <si>
    <t>2 IVA CREDITO</t>
  </si>
  <si>
    <t>SUB- TOTAL VENTAS</t>
  </si>
  <si>
    <t xml:space="preserve"> - VENTAS EXENTAS</t>
  </si>
  <si>
    <t>SUMAS DE MES</t>
  </si>
  <si>
    <t xml:space="preserve"> - NOTAS DE CREDITO (DEVOL.)</t>
  </si>
  <si>
    <t>TOTAL VENTAS IVA INCLUI.</t>
  </si>
  <si>
    <t>TOTAL VENTAS NETAS (3)</t>
  </si>
  <si>
    <t>IVA DEBITO VENTAS (4)</t>
  </si>
  <si>
    <t>Declaración Mensual y Pago Simultáneo de Impuestos Formulario 29</t>
  </si>
  <si>
    <t>Mes</t>
  </si>
  <si>
    <t>Año</t>
  </si>
  <si>
    <t>07</t>
  </si>
  <si>
    <t>DEBITOS Y VENTAS</t>
  </si>
  <si>
    <t>Ventas y/o Servicios Prestados</t>
  </si>
  <si>
    <t>Facturas de Compras recibidas con retención total (contribuyentes retenidos)</t>
  </si>
  <si>
    <t>Notas de Crédito emitidas por Vales de máquinas autorizadas por el Servicio</t>
  </si>
  <si>
    <t>Facturas de Compras recibidas con retención parcial (contribuyentes retenidos)</t>
  </si>
  <si>
    <t>Adiciones al Débito Fiscal del mes, originadas en devoluciones excesivas registradas en otros períodos por Art. 27 bis</t>
  </si>
  <si>
    <t>Restitución Adicional por proporción de operaciones exentas y/o no gravadas por concepto Art. 27 bis, inc.2º (Ley 19.738/01)</t>
  </si>
  <si>
    <t>TOTAL DEBITOS</t>
  </si>
  <si>
    <t>CREDITOS Y COMPRAS</t>
  </si>
  <si>
    <t>IVA por documentos electrónicos recibidos</t>
  </si>
  <si>
    <t>Sin Derecho a Credito Fiscal</t>
  </si>
  <si>
    <t>Internas afectas</t>
  </si>
  <si>
    <t>Importaciones</t>
  </si>
  <si>
    <t>Con Derecho a Crédito Fiscal</t>
  </si>
  <si>
    <t>Facturas recibidas del giro y Facturas de compra emitidas</t>
  </si>
  <si>
    <t>Impor-tación</t>
  </si>
  <si>
    <t>Remanente Crédito Fiscal del mes anterior</t>
  </si>
  <si>
    <t>Devolución Solicitud Art. 36 (Exportadores)</t>
  </si>
  <si>
    <t>Devolución Solicitud Art. 27 bis (Activo fijo)</t>
  </si>
  <si>
    <t>Devolución Solicitud Art. 3º (Cambio de Sujeto)</t>
  </si>
  <si>
    <t>Crédito del Art. 11º Ley 18.211 (correspondiente a Zona Franca de Extensión)</t>
  </si>
  <si>
    <t>TOTAL CREDITOS</t>
  </si>
  <si>
    <t>Diferencia Total Débitos (línea 12, código 538) menos Total Créditos (línea 32, código 537); trasládelo a la línea 33. Si el resultado es positivo al código 89, si es negativo al código 77 sin signo.</t>
  </si>
  <si>
    <t>IMPUESTO DETERMINADO</t>
  </si>
  <si>
    <t>Remanente de crédito fiscal para el período siguiente</t>
  </si>
  <si>
    <t>IVA Determinado</t>
  </si>
  <si>
    <t>IMPUESTO A LA RENTA D.L. 824/74</t>
  </si>
  <si>
    <t>Retenciones</t>
  </si>
  <si>
    <t>Retención Impuesto Primera Categoría por renta de capitales mobiliarios del Art. 20 Nº2, según Art. 73 LIR</t>
  </si>
  <si>
    <t>Retención Impuesto Único a los Trabajadores, según Art. 74 Nº1 LIR</t>
  </si>
  <si>
    <t>Retención de Impuesto con tasa del 10% sobre las rentas del Art. 42 Nº2, según Art. 74 Nº2 LIR</t>
  </si>
  <si>
    <t>Retención de Impuesto con tasa del 10% sobre las rentas del Art. 48, según Art. 74 Nº3 LIR</t>
  </si>
  <si>
    <t>Retención a Suplementeros, según Art. 74 Nº5 (tasa 0,5%) LIR</t>
  </si>
  <si>
    <t>Retención por compra de productos mineros, según Art. 74 Nº 6 LIR</t>
  </si>
  <si>
    <t>Retención sobre cantidades pagadas en cumplimiento de Seguros Dotales del Art. 17 Nº3 (tasa 15%)</t>
  </si>
  <si>
    <t>Retención sobre retiros de Ahorro Previsional Voluntario del Art. 42 bis LIR (tasa 15%)</t>
  </si>
  <si>
    <t>Monto Pérdida Art. 90</t>
  </si>
  <si>
    <t xml:space="preserve">    Crédito</t>
  </si>
  <si>
    <t>PPM Neto Determinado</t>
  </si>
  <si>
    <t>1ª Categoría Art. 84 a)</t>
  </si>
  <si>
    <t>Mineros, Art. 84 a)</t>
  </si>
  <si>
    <t>Exportador Minero Art. 84 h)</t>
  </si>
  <si>
    <t>2ª Categoría Art. 84, b) (tasa 10%)</t>
  </si>
  <si>
    <t>Taller artesanal Art. 84, c) (tasa de 1,5% ó 3%)</t>
  </si>
  <si>
    <t>SUB TOTAL IMPUESTO DETERMINADO ANVERSO. (Suma de las líneas 33 a 46, columna Impuesto y/o PPM determinado)</t>
  </si>
  <si>
    <t xml:space="preserve">Si no declara Tributación Simplificada, Impuesto Adicional (Art. 37 o Art. 42), Cotización Adicional, Crédito Especial Empresas Constructoras, Recuperación de Peaje Transportistas de Pasajeros o Cambio de Sujeto; traslade el valor a línea 47 (código 595) </t>
  </si>
  <si>
    <t xml:space="preserve">      Apellido Paterno o Razón Social</t>
  </si>
  <si>
    <t xml:space="preserve"> Apellido Materno</t>
  </si>
  <si>
    <t xml:space="preserve">             Viene de línea 47 código 595, ó línea 89 código 547</t>
  </si>
  <si>
    <t>TOTAL A PAGAR DENTRO DEL PLAZO LEGAL</t>
  </si>
  <si>
    <t>Más Intereses y Multas</t>
  </si>
  <si>
    <t xml:space="preserve">PPM                            </t>
  </si>
  <si>
    <t>Resumen de la declaración</t>
  </si>
  <si>
    <t>ultima boleta emitida</t>
  </si>
  <si>
    <t>primera boleta emitida</t>
  </si>
  <si>
    <t>ultima factura emitida</t>
  </si>
  <si>
    <t>GASTOS</t>
  </si>
  <si>
    <t>GENERALES</t>
  </si>
  <si>
    <t>primera factura emitida</t>
  </si>
  <si>
    <t>N.</t>
  </si>
  <si>
    <t>Nombre del Profesional</t>
  </si>
  <si>
    <t>R.U.T. N.</t>
  </si>
  <si>
    <t>Profesión</t>
  </si>
  <si>
    <t>Honorario Bruto</t>
  </si>
  <si>
    <t>Retención</t>
  </si>
  <si>
    <t>Honorario Líquido</t>
  </si>
  <si>
    <t>LIBRO DE HONORARIOS</t>
  </si>
  <si>
    <t>TOTALES</t>
  </si>
  <si>
    <t>TOTAL FACTURAS MDS</t>
  </si>
  <si>
    <t>TOTAL FACTURAS GASTOS GENERALES</t>
  </si>
  <si>
    <t>TOTAL FACTURAS ACTIVO FIJO</t>
  </si>
  <si>
    <t>MERCADERIAS</t>
  </si>
  <si>
    <t>GASTOS GENERALES</t>
  </si>
  <si>
    <t>ACTIVO FIJO</t>
  </si>
  <si>
    <t>CREDITO FISCAL</t>
  </si>
  <si>
    <t>CAJA</t>
  </si>
  <si>
    <t>Por las compras del mes</t>
  </si>
  <si>
    <t>Verificación proceso</t>
  </si>
  <si>
    <t>ASIENTO CONTABLE POR LAS COMPRAS</t>
  </si>
  <si>
    <t>ENERO</t>
  </si>
  <si>
    <t>MERCADERIAS EXENTAS</t>
  </si>
  <si>
    <t>FEBRERO</t>
  </si>
  <si>
    <t>RUT EMPRESA</t>
  </si>
  <si>
    <t xml:space="preserve">  -REMANENTE CREDITO ANTERIOR</t>
  </si>
  <si>
    <t>CREDITO EN UTM</t>
  </si>
  <si>
    <t>REMANENTE MES ANTERIOR</t>
  </si>
  <si>
    <t>IMPTO. UNICO 2A. CAT.</t>
  </si>
  <si>
    <t>RETENCION 2ª CAT.  13,75%</t>
  </si>
  <si>
    <t>UTM MES SIGUIENTE</t>
  </si>
  <si>
    <t>MES</t>
  </si>
  <si>
    <t>AÑO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</si>
  <si>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</si>
  <si>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</si>
  <si>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</si>
  <si>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</si>
  <si>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</si>
  <si>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</si>
  <si>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</si>
  <si>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</si>
  <si>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</si>
  <si>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</si>
  <si>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U.T.M. DEL MES</t>
  </si>
  <si>
    <t>REMANENTE EN UTM</t>
  </si>
  <si>
    <t>REMANENTE ACTUALIZADO</t>
  </si>
  <si>
    <t>Remanente Mes siguiente</t>
  </si>
  <si>
    <t>Impto. Iva por Pagar</t>
  </si>
  <si>
    <t>VENTAS EXENTAS</t>
  </si>
  <si>
    <t>SERVICIOS</t>
  </si>
  <si>
    <t>DEBITO FISCAL</t>
  </si>
  <si>
    <t>COSTO DE VENTAS</t>
  </si>
  <si>
    <t>Ventas con retención sobre el margen de comercialización (contribuyentes retenidos</t>
  </si>
  <si>
    <t>Ventas y/o Servicios prestados Exentos o No Gravados que no son del giro</t>
  </si>
  <si>
    <t>Facturas de Compras recibidas con retención parcial (Total neto según Línea Nº 14</t>
  </si>
  <si>
    <t>Facturas y Notas de Débitos por ventas que no son del giro (activo fijo y otros)</t>
  </si>
  <si>
    <t>Notas de Crédito emitidas por ventas y servicios que no son del giro (activo fijo y</t>
  </si>
  <si>
    <t>Liquidación y Liquidaciones de Facturas</t>
  </si>
  <si>
    <t>Reintegro del Impuesto de Timbres y Estampillas Art. 3 Ley Nº20.259</t>
  </si>
  <si>
    <t>Adiciones al Débito por IEPD, Ley 20.493</t>
  </si>
  <si>
    <t>m3</t>
  </si>
  <si>
    <t>Base</t>
  </si>
  <si>
    <t>Variable</t>
  </si>
  <si>
    <t>Declaraciones de Ingreso (DIN) importaciones del giro</t>
  </si>
  <si>
    <t>Declaraciones de Ingreso (DIN) importaciones activo fijo</t>
  </si>
  <si>
    <t>Devolución Solicitud Ley Nº 20.258 por remanente CF IVA originado en Impto. Específico Petróleo Diesel (Generadoras Eléctricas)</t>
  </si>
  <si>
    <t>M3 Comprados con derecho a crédito</t>
  </si>
  <si>
    <t>Componentes del Impuesto</t>
  </si>
  <si>
    <t>Recuperación  del Impto. Específico al Petróleo Diesel (Art. 7º Ley 18.502 y 3º D.S. Nº 311/86)</t>
  </si>
  <si>
    <t>Recuperación  del Impto. Específico al Petróleo Diesel soportado por Transportistas de Carga (Art. 2º Ley 19.764)</t>
  </si>
  <si>
    <t>Crédito por Impuesto de Timbres y Estampillas, Art. 3º Ley 20.259</t>
  </si>
  <si>
    <t>Transportistas acogidos a Renta Presunta, Art. 84 e) y f) (tasa de 0,3%)</t>
  </si>
  <si>
    <t>Crédito Capacitación</t>
  </si>
  <si>
    <t>Crédito del mes</t>
  </si>
  <si>
    <t>Remanente mes Anterior</t>
  </si>
  <si>
    <t>Remanente Período sgte</t>
  </si>
  <si>
    <t>Ley 19.518/97</t>
  </si>
  <si>
    <t>Crédito a imutar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</si>
</sst>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_-* #,##0.00_-;\-* #,##0.00_-;_-* &quot;-&quot;??_-;_-@_-"/>
    <numFmt numFmtId="165" formatCode="#,##0;\(#,##0\);\ "/>
    <numFmt numFmtId="166" formatCode="[$$-340A]\ #,##0;[Red]\-[$$-340A]\ #,##0"/>
    <numFmt numFmtId="167" formatCode="_(* #,##0_);_(* \(#,##0\);_(* &quot;-&quot;??_);_(@_)"/>
    <numFmt numFmtId="168" formatCode="#,##0_ ;[Red]\-#,##0\ "/>
    <numFmt numFmtId="169" formatCode="&quot;$&quot;\ #,##0"/>
    <numFmt numFmtId="170" formatCode="&quot;$&quot;#,##0_);[Red]\(&quot;$&quot;#,##0\)"/>
    <numFmt numFmtId="171" formatCode="0.0%"/>
  </numFmts>
  <fonts count="2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2"/>
      <name val="Arial Narrow"/>
      <family val="2"/>
    </font>
    <font>
      <b/>
      <sz val="12"/>
      <name val="Arial Narrow"/>
      <family val="2"/>
    </font>
    <font>
      <sz val="10"/>
      <name val="Arial Narrow"/>
      <family val="2"/>
    </font>
    <font>
      <b/>
      <sz val="24"/>
      <name val="Arial Narrow"/>
      <family val="2"/>
    </font>
    <font>
      <sz val="14"/>
      <name val="Arial Narrow"/>
      <family val="2"/>
    </font>
    <font>
      <sz val="14"/>
      <color theme="0"/>
      <name val="Arial Narrow"/>
      <family val="2"/>
    </font>
    <font>
      <b/>
      <sz val="8"/>
      <name val="Arial Narrow"/>
      <family val="2"/>
    </font>
    <font>
      <sz val="14"/>
      <name val="Times New Roman"/>
      <family val="1"/>
    </font>
    <font>
      <b/>
      <sz val="14"/>
      <name val="Arial Narrow"/>
      <family val="2"/>
    </font>
    <font>
      <b/>
      <sz val="14"/>
      <name val="Times New Roman"/>
      <family val="1"/>
    </font>
    <font>
      <sz val="8"/>
      <name val="Arial Narrow"/>
      <family val="2"/>
    </font>
    <font>
      <sz val="9"/>
      <name val="Arial Narrow"/>
      <family val="2"/>
    </font>
    <font>
      <b/>
      <sz val="18"/>
      <name val="Arial Narrow"/>
      <family val="2"/>
    </font>
    <font>
      <b/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/>
      <top/>
      <bottom/>
      <diagonal/>
    </border>
    <border>
      <left/>
      <right style="thin">
        <color rgb="FF0070C0"/>
      </right>
      <top/>
      <bottom/>
      <diagonal/>
    </border>
    <border>
      <left style="thin">
        <color rgb="FF0070C0"/>
      </left>
      <right/>
      <top style="thin">
        <color rgb="FF0070C0"/>
      </top>
      <bottom/>
      <diagonal/>
    </border>
    <border>
      <left/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/>
      <top/>
      <bottom style="thin">
        <color rgb="FF0070C0"/>
      </bottom>
      <diagonal/>
    </border>
    <border>
      <left/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thin">
        <color rgb="FF0070C0"/>
      </right>
      <top/>
      <bottom/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/>
      <right/>
      <top style="thin">
        <color rgb="FF0070C0"/>
      </top>
      <bottom/>
      <diagonal/>
    </border>
    <border>
      <left/>
      <right/>
      <top/>
      <bottom style="thin">
        <color rgb="FF0070C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4" fillId="0" borderId="0"/>
    <xf numFmtId="164" fontId="3" fillId="0" borderId="0" applyFont="0" applyFill="0" applyBorder="0" applyAlignment="0" applyProtection="0"/>
  </cellStyleXfs>
  <cellXfs count="316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7" xfId="0" applyBorder="1"/>
    <xf numFmtId="0" fontId="0" fillId="2" borderId="0" xfId="0" applyFill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3" xfId="0" applyBorder="1"/>
    <xf numFmtId="0" fontId="5" fillId="0" borderId="0" xfId="1" applyFont="1" applyAlignment="1" applyProtection="1">
      <alignment vertical="center"/>
      <protection hidden="1"/>
    </xf>
    <xf numFmtId="0" fontId="5" fillId="0" borderId="0" xfId="1" applyFont="1" applyAlignment="1" applyProtection="1">
      <alignment horizontal="center" vertical="center"/>
      <protection hidden="1"/>
    </xf>
    <xf numFmtId="14" fontId="6" fillId="0" borderId="0" xfId="0" applyNumberFormat="1" applyFont="1" applyAlignment="1" applyProtection="1">
      <alignment vertical="center"/>
      <protection hidden="1"/>
    </xf>
    <xf numFmtId="0" fontId="7" fillId="0" borderId="0" xfId="1" applyFont="1" applyAlignment="1" applyProtection="1">
      <alignment vertical="center"/>
      <protection hidden="1"/>
    </xf>
    <xf numFmtId="0" fontId="7" fillId="0" borderId="0" xfId="1" applyFont="1" applyAlignment="1" applyProtection="1">
      <alignment horizontal="center" vertical="center"/>
      <protection hidden="1"/>
    </xf>
    <xf numFmtId="165" fontId="5" fillId="0" borderId="0" xfId="1" applyNumberFormat="1" applyFont="1" applyAlignment="1" applyProtection="1">
      <alignment horizontal="center" vertical="center"/>
      <protection hidden="1"/>
    </xf>
    <xf numFmtId="0" fontId="8" fillId="0" borderId="0" xfId="1" applyFont="1" applyAlignment="1" applyProtection="1">
      <alignment vertical="center"/>
      <protection hidden="1"/>
    </xf>
    <xf numFmtId="0" fontId="5" fillId="0" borderId="11" xfId="1" applyFont="1" applyBorder="1" applyAlignment="1" applyProtection="1">
      <alignment vertical="center"/>
      <protection hidden="1"/>
    </xf>
    <xf numFmtId="0" fontId="5" fillId="0" borderId="12" xfId="1" applyFont="1" applyBorder="1" applyAlignment="1" applyProtection="1">
      <alignment vertical="center"/>
      <protection hidden="1"/>
    </xf>
    <xf numFmtId="165" fontId="5" fillId="0" borderId="0" xfId="1" quotePrefix="1" applyNumberFormat="1" applyFont="1" applyAlignment="1" applyProtection="1">
      <alignment vertical="center"/>
      <protection hidden="1"/>
    </xf>
    <xf numFmtId="0" fontId="5" fillId="0" borderId="10" xfId="1" applyFont="1" applyBorder="1" applyAlignment="1" applyProtection="1">
      <alignment horizontal="center" vertical="center"/>
      <protection hidden="1"/>
    </xf>
    <xf numFmtId="165" fontId="5" fillId="0" borderId="0" xfId="1" applyNumberFormat="1" applyFont="1" applyAlignment="1" applyProtection="1">
      <alignment vertical="center"/>
      <protection hidden="1"/>
    </xf>
    <xf numFmtId="0" fontId="5" fillId="0" borderId="10" xfId="1" applyFont="1" applyBorder="1" applyAlignment="1" applyProtection="1">
      <alignment vertical="center"/>
      <protection hidden="1"/>
    </xf>
    <xf numFmtId="0" fontId="10" fillId="0" borderId="11" xfId="0" applyFont="1" applyBorder="1" applyAlignment="1" applyProtection="1">
      <alignment vertical="center"/>
      <protection hidden="1"/>
    </xf>
    <xf numFmtId="0" fontId="5" fillId="0" borderId="10" xfId="1" quotePrefix="1" applyFont="1" applyBorder="1" applyAlignment="1" applyProtection="1">
      <alignment horizontal="center" vertical="center"/>
      <protection hidden="1"/>
    </xf>
    <xf numFmtId="166" fontId="9" fillId="0" borderId="10" xfId="1" applyNumberFormat="1" applyFont="1" applyBorder="1" applyAlignment="1" applyProtection="1">
      <alignment horizontal="right" vertical="center"/>
      <protection hidden="1"/>
    </xf>
    <xf numFmtId="0" fontId="12" fillId="0" borderId="10" xfId="1" quotePrefix="1" applyFont="1" applyBorder="1" applyAlignment="1" applyProtection="1">
      <alignment horizontal="center" vertical="center"/>
      <protection hidden="1"/>
    </xf>
    <xf numFmtId="0" fontId="14" fillId="0" borderId="10" xfId="1" quotePrefix="1" applyFont="1" applyBorder="1" applyAlignment="1" applyProtection="1">
      <alignment horizontal="center" vertical="center"/>
      <protection hidden="1"/>
    </xf>
    <xf numFmtId="0" fontId="6" fillId="0" borderId="0" xfId="1" applyFont="1" applyAlignment="1" applyProtection="1">
      <alignment vertical="center"/>
      <protection hidden="1"/>
    </xf>
    <xf numFmtId="0" fontId="6" fillId="0" borderId="10" xfId="1" applyFont="1" applyBorder="1" applyAlignment="1" applyProtection="1">
      <alignment vertical="center"/>
      <protection hidden="1"/>
    </xf>
    <xf numFmtId="0" fontId="7" fillId="0" borderId="10" xfId="1" applyFont="1" applyBorder="1" applyAlignment="1" applyProtection="1">
      <alignment horizontal="center" vertical="center"/>
      <protection hidden="1"/>
    </xf>
    <xf numFmtId="49" fontId="5" fillId="0" borderId="10" xfId="1" applyNumberFormat="1" applyFont="1" applyBorder="1" applyAlignment="1" applyProtection="1">
      <alignment horizontal="center" vertical="center"/>
      <protection hidden="1"/>
    </xf>
    <xf numFmtId="0" fontId="2" fillId="0" borderId="8" xfId="0" applyFont="1" applyBorder="1"/>
    <xf numFmtId="3" fontId="0" fillId="0" borderId="1" xfId="0" applyNumberFormat="1" applyBorder="1"/>
    <xf numFmtId="3" fontId="2" fillId="0" borderId="9" xfId="0" applyNumberFormat="1" applyFont="1" applyBorder="1"/>
    <xf numFmtId="16" fontId="0" fillId="0" borderId="1" xfId="0" applyNumberFormat="1" applyBorder="1"/>
    <xf numFmtId="0" fontId="13" fillId="0" borderId="10" xfId="1" applyFont="1" applyBorder="1" applyAlignment="1" applyProtection="1">
      <alignment horizontal="center" vertical="center" wrapText="1"/>
      <protection locked="0"/>
    </xf>
    <xf numFmtId="0" fontId="19" fillId="0" borderId="1" xfId="0" applyFont="1" applyBorder="1"/>
    <xf numFmtId="0" fontId="19" fillId="0" borderId="0" xfId="0" applyFont="1"/>
    <xf numFmtId="10" fontId="0" fillId="0" borderId="0" xfId="0" applyNumberFormat="1" applyAlignment="1">
      <alignment horizontal="center" vertical="center"/>
    </xf>
    <xf numFmtId="3" fontId="19" fillId="0" borderId="1" xfId="0" applyNumberFormat="1" applyFont="1" applyBorder="1"/>
    <xf numFmtId="3" fontId="2" fillId="0" borderId="1" xfId="0" applyNumberFormat="1" applyFont="1" applyBorder="1"/>
    <xf numFmtId="0" fontId="7" fillId="2" borderId="10" xfId="1" applyFont="1" applyFill="1" applyBorder="1" applyAlignment="1" applyProtection="1">
      <alignment horizontal="center" vertical="center"/>
      <protection hidden="1"/>
    </xf>
    <xf numFmtId="0" fontId="5" fillId="2" borderId="10" xfId="1" applyFont="1" applyFill="1" applyBorder="1" applyAlignment="1" applyProtection="1">
      <alignment horizontal="center" vertical="center"/>
      <protection hidden="1"/>
    </xf>
    <xf numFmtId="0" fontId="2" fillId="0" borderId="0" xfId="0" applyFont="1"/>
    <xf numFmtId="0" fontId="21" fillId="0" borderId="1" xfId="0" applyFont="1" applyBorder="1" applyAlignment="1">
      <alignment horizontal="center" vertical="center" wrapText="1"/>
    </xf>
    <xf numFmtId="0" fontId="5" fillId="0" borderId="10" xfId="1" applyFont="1" applyBorder="1" applyAlignment="1" applyProtection="1">
      <alignment horizontal="left" vertical="center"/>
      <protection hidden="1"/>
    </xf>
    <xf numFmtId="0" fontId="5" fillId="0" borderId="19" xfId="1" applyFont="1" applyBorder="1" applyAlignment="1" applyProtection="1">
      <alignment horizontal="center" vertical="center"/>
      <protection hidden="1"/>
    </xf>
    <xf numFmtId="0" fontId="6" fillId="0" borderId="19" xfId="1" applyFont="1" applyBorder="1" applyAlignment="1" applyProtection="1">
      <alignment vertical="center"/>
      <protection hidden="1"/>
    </xf>
    <xf numFmtId="3" fontId="0" fillId="0" borderId="0" xfId="0" applyNumberFormat="1"/>
    <xf numFmtId="0" fontId="5" fillId="2" borderId="10" xfId="1" applyFont="1" applyFill="1" applyBorder="1" applyAlignment="1" applyProtection="1">
      <alignment vertical="center"/>
      <protection hidden="1"/>
    </xf>
    <xf numFmtId="3" fontId="0" fillId="2" borderId="0" xfId="0" applyNumberFormat="1" applyFill="1" applyAlignment="1">
      <alignment horizontal="right"/>
    </xf>
    <xf numFmtId="0" fontId="18" fillId="0" borderId="0" xfId="0" applyFont="1"/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/>
    <xf numFmtId="0" fontId="2" fillId="0" borderId="6" xfId="0" applyFont="1" applyBorder="1" applyAlignment="1">
      <alignment horizontal="center"/>
    </xf>
    <xf numFmtId="9" fontId="2" fillId="0" borderId="6" xfId="0" applyNumberFormat="1" applyFont="1" applyBorder="1" applyAlignment="1">
      <alignment horizontal="center"/>
    </xf>
    <xf numFmtId="0" fontId="1" fillId="0" borderId="1" xfId="0" applyFont="1" applyBorder="1"/>
    <xf numFmtId="3" fontId="1" fillId="0" borderId="1" xfId="0" applyNumberFormat="1" applyFont="1" applyBorder="1"/>
    <xf numFmtId="3" fontId="1" fillId="0" borderId="6" xfId="0" applyNumberFormat="1" applyFont="1" applyBorder="1"/>
    <xf numFmtId="3" fontId="1" fillId="2" borderId="1" xfId="0" applyNumberFormat="1" applyFont="1" applyFill="1" applyBorder="1"/>
    <xf numFmtId="3" fontId="1" fillId="2" borderId="1" xfId="0" applyNumberFormat="1" applyFont="1" applyFill="1" applyBorder="1" applyAlignment="1">
      <alignment horizontal="right"/>
    </xf>
    <xf numFmtId="0" fontId="1" fillId="0" borderId="0" xfId="0" applyFont="1"/>
    <xf numFmtId="9" fontId="2" fillId="0" borderId="6" xfId="0" applyNumberFormat="1" applyFont="1" applyBorder="1" applyAlignment="1">
      <alignment horizontal="center" vertical="center"/>
    </xf>
    <xf numFmtId="16" fontId="1" fillId="0" borderId="1" xfId="0" applyNumberFormat="1" applyFont="1" applyBorder="1"/>
    <xf numFmtId="3" fontId="22" fillId="0" borderId="1" xfId="0" applyNumberFormat="1" applyFont="1" applyBorder="1"/>
    <xf numFmtId="0" fontId="19" fillId="0" borderId="9" xfId="0" applyFont="1" applyBorder="1" applyAlignment="1">
      <alignment horizontal="left"/>
    </xf>
    <xf numFmtId="3" fontId="19" fillId="0" borderId="8" xfId="0" applyNumberFormat="1" applyFont="1" applyBorder="1" applyAlignment="1">
      <alignment horizontal="right"/>
    </xf>
    <xf numFmtId="3" fontId="19" fillId="0" borderId="9" xfId="0" applyNumberFormat="1" applyFont="1" applyBorder="1" applyAlignment="1">
      <alignment horizontal="right"/>
    </xf>
    <xf numFmtId="3" fontId="19" fillId="0" borderId="8" xfId="0" applyNumberFormat="1" applyFont="1" applyBorder="1"/>
    <xf numFmtId="3" fontId="19" fillId="0" borderId="9" xfId="0" applyNumberFormat="1" applyFont="1" applyBorder="1"/>
    <xf numFmtId="3" fontId="21" fillId="0" borderId="8" xfId="0" applyNumberFormat="1" applyFont="1" applyBorder="1"/>
    <xf numFmtId="0" fontId="19" fillId="0" borderId="8" xfId="0" applyFont="1" applyBorder="1" applyAlignment="1">
      <alignment horizontal="left"/>
    </xf>
    <xf numFmtId="0" fontId="19" fillId="0" borderId="8" xfId="0" applyFont="1" applyBorder="1"/>
    <xf numFmtId="3" fontId="19" fillId="2" borderId="8" xfId="0" applyNumberFormat="1" applyFont="1" applyFill="1" applyBorder="1"/>
    <xf numFmtId="10" fontId="0" fillId="0" borderId="0" xfId="0" applyNumberFormat="1"/>
    <xf numFmtId="2" fontId="19" fillId="0" borderId="9" xfId="0" applyNumberFormat="1" applyFont="1" applyBorder="1"/>
    <xf numFmtId="0" fontId="18" fillId="0" borderId="1" xfId="0" applyFont="1" applyBorder="1" applyAlignment="1">
      <alignment horizontal="center"/>
    </xf>
    <xf numFmtId="4" fontId="19" fillId="0" borderId="9" xfId="0" applyNumberFormat="1" applyFont="1" applyBorder="1"/>
    <xf numFmtId="2" fontId="0" fillId="0" borderId="0" xfId="0" applyNumberFormat="1"/>
    <xf numFmtId="0" fontId="2" fillId="0" borderId="2" xfId="0" applyFont="1" applyBorder="1"/>
    <xf numFmtId="0" fontId="0" fillId="0" borderId="4" xfId="0" applyBorder="1"/>
    <xf numFmtId="0" fontId="0" fillId="0" borderId="27" xfId="0" applyBorder="1"/>
    <xf numFmtId="0" fontId="0" fillId="0" borderId="28" xfId="0" applyBorder="1"/>
    <xf numFmtId="0" fontId="2" fillId="0" borderId="25" xfId="0" applyFont="1" applyBorder="1"/>
    <xf numFmtId="0" fontId="0" fillId="0" borderId="29" xfId="0" applyBorder="1"/>
    <xf numFmtId="3" fontId="20" fillId="0" borderId="1" xfId="0" applyNumberFormat="1" applyFont="1" applyBorder="1"/>
    <xf numFmtId="0" fontId="20" fillId="0" borderId="1" xfId="0" applyFont="1" applyBorder="1" applyAlignment="1">
      <alignment horizontal="center" vertical="center"/>
    </xf>
    <xf numFmtId="0" fontId="12" fillId="2" borderId="10" xfId="1" quotePrefix="1" applyFont="1" applyFill="1" applyBorder="1" applyAlignment="1" applyProtection="1">
      <alignment horizontal="center" vertical="center"/>
      <protection hidden="1"/>
    </xf>
    <xf numFmtId="0" fontId="5" fillId="2" borderId="18" xfId="1" applyFont="1" applyFill="1" applyBorder="1" applyAlignment="1" applyProtection="1">
      <alignment horizontal="center" vertical="center"/>
      <protection hidden="1"/>
    </xf>
    <xf numFmtId="0" fontId="5" fillId="2" borderId="19" xfId="1" applyFont="1" applyFill="1" applyBorder="1" applyAlignment="1" applyProtection="1">
      <alignment vertical="center"/>
      <protection hidden="1"/>
    </xf>
    <xf numFmtId="0" fontId="5" fillId="0" borderId="18" xfId="1" applyFont="1" applyBorder="1" applyAlignment="1" applyProtection="1">
      <alignment horizontal="center" vertical="center"/>
      <protection hidden="1"/>
    </xf>
    <xf numFmtId="0" fontId="5" fillId="0" borderId="19" xfId="1" applyFont="1" applyBorder="1" applyAlignment="1" applyProtection="1">
      <alignment vertical="center"/>
      <protection hidden="1"/>
    </xf>
    <xf numFmtId="0" fontId="0" fillId="0" borderId="10" xfId="0" applyBorder="1" applyAlignment="1">
      <alignment horizontal="center"/>
    </xf>
    <xf numFmtId="0" fontId="18" fillId="4" borderId="3" xfId="0" applyFont="1" applyFill="1" applyBorder="1" applyAlignment="1">
      <alignment horizontal="center"/>
    </xf>
    <xf numFmtId="0" fontId="18" fillId="4" borderId="4" xfId="0" applyFont="1" applyFill="1" applyBorder="1" applyAlignment="1">
      <alignment horizontal="center"/>
    </xf>
    <xf numFmtId="0" fontId="18" fillId="4" borderId="0" xfId="0" applyFont="1" applyFill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left"/>
    </xf>
    <xf numFmtId="0" fontId="2" fillId="0" borderId="8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19" fillId="0" borderId="8" xfId="0" applyFont="1" applyBorder="1" applyAlignment="1">
      <alignment horizontal="left" vertical="center"/>
    </xf>
    <xf numFmtId="0" fontId="19" fillId="0" borderId="9" xfId="0" applyFont="1" applyBorder="1" applyAlignment="1">
      <alignment horizontal="left" vertical="center"/>
    </xf>
    <xf numFmtId="0" fontId="21" fillId="0" borderId="8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26" xfId="0" applyFont="1" applyBorder="1" applyAlignment="1">
      <alignment horizontal="left" vertical="center"/>
    </xf>
    <xf numFmtId="0" fontId="21" fillId="0" borderId="8" xfId="0" applyFont="1" applyBorder="1" applyAlignment="1">
      <alignment horizontal="left" vertical="center"/>
    </xf>
    <xf numFmtId="0" fontId="21" fillId="0" borderId="26" xfId="0" applyFont="1" applyBorder="1" applyAlignment="1">
      <alignment horizontal="left" vertical="center"/>
    </xf>
    <xf numFmtId="0" fontId="21" fillId="0" borderId="9" xfId="0" applyFont="1" applyBorder="1" applyAlignment="1">
      <alignment horizontal="left" vertical="center"/>
    </xf>
    <xf numFmtId="3" fontId="19" fillId="0" borderId="8" xfId="0" applyNumberFormat="1" applyFont="1" applyBorder="1"/>
    <xf numFmtId="3" fontId="19" fillId="0" borderId="9" xfId="0" applyNumberFormat="1" applyFont="1" applyBorder="1"/>
    <xf numFmtId="3" fontId="19" fillId="0" borderId="8" xfId="0" applyNumberFormat="1" applyFont="1" applyBorder="1" applyAlignment="1">
      <alignment horizontal="right"/>
    </xf>
    <xf numFmtId="3" fontId="19" fillId="0" borderId="9" xfId="0" applyNumberFormat="1" applyFont="1" applyBorder="1" applyAlignment="1">
      <alignment horizontal="right"/>
    </xf>
    <xf numFmtId="0" fontId="19" fillId="0" borderId="9" xfId="0" applyFont="1" applyBorder="1"/>
    <xf numFmtId="0" fontId="19" fillId="0" borderId="8" xfId="0" applyFont="1" applyBorder="1" applyAlignment="1">
      <alignment horizontal="center"/>
    </xf>
    <xf numFmtId="0" fontId="19" fillId="0" borderId="9" xfId="0" applyFont="1" applyBorder="1" applyAlignment="1">
      <alignment horizontal="center"/>
    </xf>
    <xf numFmtId="3" fontId="19" fillId="3" borderId="8" xfId="0" applyNumberFormat="1" applyFont="1" applyFill="1" applyBorder="1"/>
    <xf numFmtId="3" fontId="19" fillId="3" borderId="9" xfId="0" applyNumberFormat="1" applyFont="1" applyFill="1" applyBorder="1"/>
    <xf numFmtId="0" fontId="19" fillId="0" borderId="8" xfId="0" applyFont="1" applyBorder="1"/>
    <xf numFmtId="3" fontId="25" fillId="0" borderId="8" xfId="0" applyNumberFormat="1" applyFont="1" applyBorder="1"/>
    <xf numFmtId="3" fontId="25" fillId="0" borderId="9" xfId="0" applyNumberFormat="1" applyFont="1" applyBorder="1"/>
    <xf numFmtId="0" fontId="19" fillId="0" borderId="8" xfId="0" applyFont="1" applyBorder="1" applyAlignment="1">
      <alignment horizontal="left"/>
    </xf>
    <xf numFmtId="0" fontId="19" fillId="0" borderId="9" xfId="0" applyFont="1" applyBorder="1" applyAlignment="1">
      <alignment horizontal="left"/>
    </xf>
    <xf numFmtId="0" fontId="21" fillId="3" borderId="8" xfId="0" applyFont="1" applyFill="1" applyBorder="1" applyAlignment="1">
      <alignment horizontal="left"/>
    </xf>
    <xf numFmtId="0" fontId="21" fillId="3" borderId="9" xfId="0" applyFont="1" applyFill="1" applyBorder="1" applyAlignment="1">
      <alignment horizontal="left"/>
    </xf>
    <xf numFmtId="0" fontId="21" fillId="0" borderId="8" xfId="0" applyFont="1" applyBorder="1" applyAlignment="1">
      <alignment horizontal="left"/>
    </xf>
    <xf numFmtId="0" fontId="21" fillId="0" borderId="9" xfId="0" applyFont="1" applyBorder="1" applyAlignment="1">
      <alignment horizontal="left"/>
    </xf>
    <xf numFmtId="0" fontId="18" fillId="0" borderId="8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3" fontId="21" fillId="0" borderId="8" xfId="0" applyNumberFormat="1" applyFont="1" applyBorder="1"/>
    <xf numFmtId="3" fontId="21" fillId="0" borderId="9" xfId="0" applyNumberFormat="1" applyFont="1" applyBorder="1"/>
    <xf numFmtId="0" fontId="25" fillId="0" borderId="0" xfId="0" applyFont="1" applyAlignment="1">
      <alignment horizontal="center"/>
    </xf>
    <xf numFmtId="0" fontId="18" fillId="4" borderId="1" xfId="0" applyFont="1" applyFill="1" applyBorder="1" applyAlignment="1">
      <alignment horizontal="center"/>
    </xf>
    <xf numFmtId="0" fontId="22" fillId="4" borderId="8" xfId="0" applyFont="1" applyFill="1" applyBorder="1" applyAlignment="1">
      <alignment horizontal="center"/>
    </xf>
    <xf numFmtId="0" fontId="22" fillId="4" borderId="9" xfId="0" applyFont="1" applyFill="1" applyBorder="1" applyAlignment="1">
      <alignment horizontal="center"/>
    </xf>
    <xf numFmtId="0" fontId="18" fillId="0" borderId="25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6" fillId="0" borderId="10" xfId="1" applyFont="1" applyBorder="1" applyAlignment="1" applyProtection="1">
      <alignment horizontal="center" vertical="center"/>
      <protection hidden="1"/>
    </xf>
    <xf numFmtId="0" fontId="6" fillId="0" borderId="10" xfId="1" applyFont="1" applyBorder="1" applyAlignment="1" applyProtection="1">
      <alignment horizontal="center" vertical="center" wrapText="1"/>
      <protection hidden="1"/>
    </xf>
    <xf numFmtId="0" fontId="5" fillId="0" borderId="10" xfId="1" applyFont="1" applyBorder="1" applyAlignment="1" applyProtection="1">
      <alignment horizontal="center" vertical="center"/>
      <protection hidden="1"/>
    </xf>
    <xf numFmtId="0" fontId="13" fillId="0" borderId="10" xfId="1" quotePrefix="1" applyFont="1" applyBorder="1" applyAlignment="1" applyProtection="1">
      <alignment horizontal="center" vertical="center" wrapText="1"/>
      <protection locked="0"/>
    </xf>
    <xf numFmtId="0" fontId="5" fillId="0" borderId="10" xfId="1" quotePrefix="1" applyFont="1" applyBorder="1" applyAlignment="1" applyProtection="1">
      <alignment horizontal="center" vertical="center"/>
      <protection hidden="1"/>
    </xf>
    <xf numFmtId="3" fontId="13" fillId="0" borderId="10" xfId="0" applyNumberFormat="1" applyFont="1" applyBorder="1" applyAlignment="1" applyProtection="1">
      <alignment horizontal="center" vertical="center"/>
      <protection locked="0"/>
    </xf>
    <xf numFmtId="3" fontId="13" fillId="0" borderId="10" xfId="0" applyNumberFormat="1" applyFont="1" applyBorder="1" applyAlignment="1" applyProtection="1">
      <alignment horizontal="center" vertical="center"/>
      <protection hidden="1"/>
    </xf>
    <xf numFmtId="166" fontId="9" fillId="0" borderId="10" xfId="1" applyNumberFormat="1" applyFont="1" applyBorder="1" applyAlignment="1" applyProtection="1">
      <alignment horizontal="right" vertical="center"/>
      <protection locked="0"/>
    </xf>
    <xf numFmtId="0" fontId="5" fillId="0" borderId="10" xfId="1" applyFont="1" applyBorder="1" applyAlignment="1" applyProtection="1">
      <alignment horizontal="left" vertical="center"/>
      <protection hidden="1"/>
    </xf>
    <xf numFmtId="0" fontId="7" fillId="2" borderId="10" xfId="1" applyFont="1" applyFill="1" applyBorder="1" applyAlignment="1" applyProtection="1">
      <alignment horizontal="center" vertical="center"/>
      <protection hidden="1"/>
    </xf>
    <xf numFmtId="0" fontId="9" fillId="0" borderId="10" xfId="1" applyFont="1" applyBorder="1" applyAlignment="1" applyProtection="1">
      <alignment horizontal="center" vertical="center"/>
      <protection locked="0"/>
    </xf>
    <xf numFmtId="0" fontId="5" fillId="2" borderId="10" xfId="1" applyFont="1" applyFill="1" applyBorder="1" applyAlignment="1" applyProtection="1">
      <alignment horizontal="center" vertical="center"/>
      <protection hidden="1"/>
    </xf>
    <xf numFmtId="0" fontId="6" fillId="0" borderId="13" xfId="1" applyFont="1" applyBorder="1" applyAlignment="1" applyProtection="1">
      <alignment horizontal="center" vertical="center" textRotation="90" wrapText="1"/>
      <protection hidden="1"/>
    </xf>
    <xf numFmtId="0" fontId="6" fillId="0" borderId="14" xfId="1" applyFont="1" applyBorder="1" applyAlignment="1" applyProtection="1">
      <alignment horizontal="center" vertical="center" textRotation="90" wrapText="1"/>
      <protection hidden="1"/>
    </xf>
    <xf numFmtId="0" fontId="6" fillId="0" borderId="11" xfId="1" applyFont="1" applyBorder="1" applyAlignment="1" applyProtection="1">
      <alignment horizontal="center" vertical="center" textRotation="90" wrapText="1"/>
      <protection hidden="1"/>
    </xf>
    <xf numFmtId="0" fontId="6" fillId="0" borderId="12" xfId="1" applyFont="1" applyBorder="1" applyAlignment="1" applyProtection="1">
      <alignment horizontal="center" vertical="center" textRotation="90" wrapText="1"/>
      <protection hidden="1"/>
    </xf>
    <xf numFmtId="0" fontId="6" fillId="0" borderId="15" xfId="1" applyFont="1" applyBorder="1" applyAlignment="1" applyProtection="1">
      <alignment horizontal="center" vertical="center" textRotation="90" wrapText="1"/>
      <protection hidden="1"/>
    </xf>
    <xf numFmtId="0" fontId="6" fillId="0" borderId="16" xfId="1" applyFont="1" applyBorder="1" applyAlignment="1" applyProtection="1">
      <alignment horizontal="center" vertical="center" textRotation="90" wrapText="1"/>
      <protection hidden="1"/>
    </xf>
    <xf numFmtId="0" fontId="6" fillId="0" borderId="10" xfId="1" applyFont="1" applyBorder="1" applyAlignment="1" applyProtection="1">
      <alignment horizontal="center" vertical="center" textRotation="90" wrapText="1"/>
      <protection hidden="1"/>
    </xf>
    <xf numFmtId="0" fontId="11" fillId="0" borderId="10" xfId="1" applyFont="1" applyBorder="1" applyAlignment="1" applyProtection="1">
      <alignment horizontal="center" vertical="center" textRotation="90" wrapText="1"/>
      <protection hidden="1"/>
    </xf>
    <xf numFmtId="0" fontId="5" fillId="0" borderId="17" xfId="1" applyFont="1" applyBorder="1" applyAlignment="1" applyProtection="1">
      <alignment horizontal="left" vertical="center"/>
      <protection hidden="1"/>
    </xf>
    <xf numFmtId="0" fontId="5" fillId="0" borderId="18" xfId="1" applyFont="1" applyBorder="1" applyAlignment="1" applyProtection="1">
      <alignment horizontal="left" vertical="center"/>
      <protection hidden="1"/>
    </xf>
    <xf numFmtId="0" fontId="5" fillId="0" borderId="19" xfId="1" applyFont="1" applyBorder="1" applyAlignment="1" applyProtection="1">
      <alignment horizontal="left" vertical="center"/>
      <protection hidden="1"/>
    </xf>
    <xf numFmtId="0" fontId="7" fillId="2" borderId="17" xfId="1" applyFont="1" applyFill="1" applyBorder="1" applyAlignment="1" applyProtection="1">
      <alignment horizontal="center" vertical="center"/>
      <protection hidden="1"/>
    </xf>
    <xf numFmtId="0" fontId="7" fillId="2" borderId="19" xfId="1" applyFont="1" applyFill="1" applyBorder="1" applyAlignment="1" applyProtection="1">
      <alignment horizontal="center" vertical="center"/>
      <protection hidden="1"/>
    </xf>
    <xf numFmtId="0" fontId="9" fillId="0" borderId="17" xfId="1" applyFont="1" applyBorder="1" applyAlignment="1" applyProtection="1">
      <alignment horizontal="center" vertical="center"/>
      <protection locked="0"/>
    </xf>
    <xf numFmtId="0" fontId="9" fillId="0" borderId="18" xfId="1" applyFont="1" applyBorder="1" applyAlignment="1" applyProtection="1">
      <alignment horizontal="center" vertical="center"/>
      <protection locked="0"/>
    </xf>
    <xf numFmtId="0" fontId="9" fillId="0" borderId="19" xfId="1" applyFont="1" applyBorder="1" applyAlignment="1" applyProtection="1">
      <alignment horizontal="center" vertical="center"/>
      <protection locked="0"/>
    </xf>
    <xf numFmtId="166" fontId="9" fillId="0" borderId="17" xfId="1" applyNumberFormat="1" applyFont="1" applyBorder="1" applyAlignment="1" applyProtection="1">
      <alignment horizontal="center" vertical="center"/>
      <protection locked="0"/>
    </xf>
    <xf numFmtId="166" fontId="9" fillId="0" borderId="18" xfId="1" applyNumberFormat="1" applyFont="1" applyBorder="1" applyAlignment="1" applyProtection="1">
      <alignment horizontal="center" vertical="center"/>
      <protection locked="0"/>
    </xf>
    <xf numFmtId="166" fontId="9" fillId="0" borderId="19" xfId="1" applyNumberFormat="1" applyFont="1" applyBorder="1" applyAlignment="1" applyProtection="1">
      <alignment horizontal="center" vertical="center"/>
      <protection locked="0"/>
    </xf>
    <xf numFmtId="0" fontId="7" fillId="0" borderId="10" xfId="1" applyFont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horizontal="center" vertical="center" textRotation="90" wrapText="1"/>
      <protection hidden="1"/>
    </xf>
    <xf numFmtId="0" fontId="6" fillId="0" borderId="10" xfId="0" applyFont="1" applyBorder="1" applyAlignment="1" applyProtection="1">
      <alignment horizontal="center" vertical="center" textRotation="90" wrapText="1"/>
      <protection hidden="1"/>
    </xf>
    <xf numFmtId="167" fontId="9" fillId="0" borderId="17" xfId="2" applyNumberFormat="1" applyFont="1" applyFill="1" applyBorder="1" applyAlignment="1" applyProtection="1">
      <alignment horizontal="center" vertical="center"/>
      <protection locked="0"/>
    </xf>
    <xf numFmtId="167" fontId="9" fillId="0" borderId="18" xfId="2" applyNumberFormat="1" applyFont="1" applyFill="1" applyBorder="1" applyAlignment="1" applyProtection="1">
      <alignment horizontal="center" vertical="center"/>
      <protection locked="0"/>
    </xf>
    <xf numFmtId="167" fontId="9" fillId="0" borderId="19" xfId="2" applyNumberFormat="1" applyFont="1" applyFill="1" applyBorder="1" applyAlignment="1" applyProtection="1">
      <alignment horizontal="center" vertical="center"/>
      <protection locked="0"/>
    </xf>
    <xf numFmtId="167" fontId="9" fillId="0" borderId="10" xfId="2" applyNumberFormat="1" applyFont="1" applyFill="1" applyBorder="1" applyAlignment="1" applyProtection="1">
      <alignment horizontal="center" vertical="center"/>
      <protection locked="0"/>
    </xf>
    <xf numFmtId="0" fontId="6" fillId="2" borderId="13" xfId="1" applyFont="1" applyFill="1" applyBorder="1" applyAlignment="1" applyProtection="1">
      <alignment horizontal="center" vertical="center" textRotation="90" wrapText="1"/>
      <protection hidden="1"/>
    </xf>
    <xf numFmtId="0" fontId="6" fillId="2" borderId="14" xfId="1" applyFont="1" applyFill="1" applyBorder="1" applyAlignment="1" applyProtection="1">
      <alignment horizontal="center" vertical="center" textRotation="90" wrapText="1"/>
      <protection hidden="1"/>
    </xf>
    <xf numFmtId="0" fontId="6" fillId="2" borderId="11" xfId="1" applyFont="1" applyFill="1" applyBorder="1" applyAlignment="1" applyProtection="1">
      <alignment horizontal="center" vertical="center" textRotation="90" wrapText="1"/>
      <protection hidden="1"/>
    </xf>
    <xf numFmtId="0" fontId="6" fillId="2" borderId="12" xfId="1" applyFont="1" applyFill="1" applyBorder="1" applyAlignment="1" applyProtection="1">
      <alignment horizontal="center" vertical="center" textRotation="90" wrapText="1"/>
      <protection hidden="1"/>
    </xf>
    <xf numFmtId="0" fontId="6" fillId="2" borderId="15" xfId="1" applyFont="1" applyFill="1" applyBorder="1" applyAlignment="1" applyProtection="1">
      <alignment horizontal="center" vertical="center" textRotation="90" wrapText="1"/>
      <protection hidden="1"/>
    </xf>
    <xf numFmtId="0" fontId="6" fillId="2" borderId="16" xfId="1" applyFont="1" applyFill="1" applyBorder="1" applyAlignment="1" applyProtection="1">
      <alignment horizontal="center" vertical="center" textRotation="90" wrapText="1"/>
      <protection hidden="1"/>
    </xf>
    <xf numFmtId="0" fontId="6" fillId="0" borderId="17" xfId="1" applyFont="1" applyBorder="1" applyAlignment="1" applyProtection="1">
      <alignment horizontal="center" vertical="center"/>
      <protection hidden="1"/>
    </xf>
    <xf numFmtId="0" fontId="6" fillId="0" borderId="18" xfId="1" applyFont="1" applyBorder="1" applyAlignment="1" applyProtection="1">
      <alignment horizontal="center" vertical="center"/>
      <protection hidden="1"/>
    </xf>
    <xf numFmtId="0" fontId="6" fillId="0" borderId="19" xfId="1" applyFont="1" applyBorder="1" applyAlignment="1" applyProtection="1">
      <alignment horizontal="center" vertical="center"/>
      <protection hidden="1"/>
    </xf>
    <xf numFmtId="0" fontId="6" fillId="0" borderId="20" xfId="1" applyFont="1" applyBorder="1" applyAlignment="1" applyProtection="1">
      <alignment horizontal="center" vertical="center" textRotation="90" wrapText="1"/>
      <protection hidden="1"/>
    </xf>
    <xf numFmtId="0" fontId="6" fillId="0" borderId="21" xfId="1" applyFont="1" applyBorder="1" applyAlignment="1" applyProtection="1">
      <alignment horizontal="center" vertical="center" textRotation="90" wrapText="1"/>
      <protection hidden="1"/>
    </xf>
    <xf numFmtId="0" fontId="6" fillId="0" borderId="22" xfId="1" applyFont="1" applyBorder="1" applyAlignment="1" applyProtection="1">
      <alignment horizontal="center" vertical="center" textRotation="90" wrapText="1"/>
      <protection hidden="1"/>
    </xf>
    <xf numFmtId="0" fontId="5" fillId="0" borderId="17" xfId="1" applyFont="1" applyBorder="1" applyAlignment="1" applyProtection="1">
      <alignment horizontal="center" vertical="center"/>
      <protection hidden="1"/>
    </xf>
    <xf numFmtId="0" fontId="5" fillId="0" borderId="18" xfId="1" applyFont="1" applyBorder="1" applyAlignment="1" applyProtection="1">
      <alignment horizontal="center" vertical="center"/>
      <protection hidden="1"/>
    </xf>
    <xf numFmtId="0" fontId="5" fillId="0" borderId="19" xfId="1" applyFont="1" applyBorder="1" applyAlignment="1" applyProtection="1">
      <alignment horizontal="center" vertical="center"/>
      <protection hidden="1"/>
    </xf>
    <xf numFmtId="166" fontId="9" fillId="0" borderId="10" xfId="1" applyNumberFormat="1" applyFont="1" applyBorder="1" applyAlignment="1" applyProtection="1">
      <alignment horizontal="center" vertical="center"/>
      <protection locked="0"/>
    </xf>
    <xf numFmtId="0" fontId="5" fillId="0" borderId="17" xfId="0" applyFont="1" applyBorder="1" applyAlignment="1" applyProtection="1">
      <alignment horizontal="center" vertical="center" textRotation="90" wrapText="1"/>
      <protection hidden="1"/>
    </xf>
    <xf numFmtId="0" fontId="5" fillId="0" borderId="18" xfId="0" applyFont="1" applyBorder="1" applyAlignment="1" applyProtection="1">
      <alignment horizontal="center" vertical="center" textRotation="90" wrapText="1"/>
      <protection hidden="1"/>
    </xf>
    <xf numFmtId="0" fontId="5" fillId="0" borderId="19" xfId="0" applyFont="1" applyBorder="1" applyAlignment="1" applyProtection="1">
      <alignment horizontal="center" vertical="center" textRotation="90" wrapText="1"/>
      <protection hidden="1"/>
    </xf>
    <xf numFmtId="0" fontId="6" fillId="0" borderId="10" xfId="1" applyFont="1" applyBorder="1" applyAlignment="1" applyProtection="1">
      <alignment horizontal="left" vertical="center"/>
      <protection hidden="1"/>
    </xf>
    <xf numFmtId="0" fontId="6" fillId="2" borderId="10" xfId="1" applyFont="1" applyFill="1" applyBorder="1" applyAlignment="1" applyProtection="1">
      <alignment horizontal="center" vertical="center"/>
      <protection hidden="1"/>
    </xf>
    <xf numFmtId="166" fontId="13" fillId="0" borderId="10" xfId="1" applyNumberFormat="1" applyFont="1" applyBorder="1" applyAlignment="1" applyProtection="1">
      <alignment horizontal="right" vertical="center"/>
      <protection hidden="1"/>
    </xf>
    <xf numFmtId="0" fontId="15" fillId="0" borderId="10" xfId="1" applyFont="1" applyBorder="1" applyAlignment="1" applyProtection="1">
      <alignment horizontal="center" vertical="center" textRotation="90" wrapText="1"/>
      <protection hidden="1"/>
    </xf>
    <xf numFmtId="169" fontId="9" fillId="2" borderId="10" xfId="1" applyNumberFormat="1" applyFont="1" applyFill="1" applyBorder="1" applyAlignment="1" applyProtection="1">
      <alignment horizontal="right" vertical="center"/>
      <protection locked="0"/>
    </xf>
    <xf numFmtId="0" fontId="5" fillId="0" borderId="20" xfId="1" applyFont="1" applyBorder="1" applyAlignment="1" applyProtection="1">
      <alignment horizontal="center" vertical="center" textRotation="90" wrapText="1"/>
      <protection hidden="1"/>
    </xf>
    <xf numFmtId="0" fontId="5" fillId="0" borderId="21" xfId="1" applyFont="1" applyBorder="1" applyAlignment="1" applyProtection="1">
      <alignment horizontal="center" vertical="center" textRotation="90" wrapText="1"/>
      <protection hidden="1"/>
    </xf>
    <xf numFmtId="0" fontId="5" fillId="0" borderId="22" xfId="1" applyFont="1" applyBorder="1" applyAlignment="1" applyProtection="1">
      <alignment horizontal="center" vertical="center" textRotation="90" wrapText="1"/>
      <protection hidden="1"/>
    </xf>
    <xf numFmtId="0" fontId="5" fillId="0" borderId="10" xfId="1" applyFont="1" applyBorder="1" applyAlignment="1" applyProtection="1">
      <alignment horizontal="center" vertical="center" textRotation="90" wrapText="1"/>
      <protection hidden="1"/>
    </xf>
    <xf numFmtId="0" fontId="16" fillId="0" borderId="20" xfId="1" applyFont="1" applyBorder="1" applyAlignment="1" applyProtection="1">
      <alignment horizontal="center" vertical="center" textRotation="90" wrapText="1"/>
      <protection hidden="1"/>
    </xf>
    <xf numFmtId="0" fontId="16" fillId="0" borderId="22" xfId="1" applyFont="1" applyBorder="1" applyAlignment="1" applyProtection="1">
      <alignment horizontal="center" vertical="center" textRotation="90" wrapText="1"/>
      <protection hidden="1"/>
    </xf>
    <xf numFmtId="0" fontId="5" fillId="2" borderId="17" xfId="1" applyFont="1" applyFill="1" applyBorder="1" applyAlignment="1" applyProtection="1">
      <alignment horizontal="left" vertical="center"/>
      <protection hidden="1"/>
    </xf>
    <xf numFmtId="0" fontId="5" fillId="2" borderId="18" xfId="1" applyFont="1" applyFill="1" applyBorder="1" applyAlignment="1" applyProtection="1">
      <alignment horizontal="left" vertical="center"/>
      <protection hidden="1"/>
    </xf>
    <xf numFmtId="0" fontId="5" fillId="2" borderId="19" xfId="1" applyFont="1" applyFill="1" applyBorder="1" applyAlignment="1" applyProtection="1">
      <alignment horizontal="left" vertical="center"/>
      <protection hidden="1"/>
    </xf>
    <xf numFmtId="167" fontId="9" fillId="2" borderId="10" xfId="2" applyNumberFormat="1" applyFont="1" applyFill="1" applyBorder="1" applyAlignment="1" applyProtection="1">
      <alignment horizontal="center" vertical="center"/>
      <protection locked="0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0" borderId="13" xfId="1" applyFont="1" applyBorder="1" applyAlignment="1" applyProtection="1">
      <alignment horizontal="center" vertical="center"/>
      <protection hidden="1"/>
    </xf>
    <xf numFmtId="0" fontId="5" fillId="0" borderId="14" xfId="1" applyFont="1" applyBorder="1" applyAlignment="1" applyProtection="1">
      <alignment horizontal="center" vertical="center"/>
      <protection hidden="1"/>
    </xf>
    <xf numFmtId="0" fontId="5" fillId="0" borderId="15" xfId="1" applyFont="1" applyBorder="1" applyAlignment="1" applyProtection="1">
      <alignment horizontal="center" vertical="center"/>
      <protection hidden="1"/>
    </xf>
    <xf numFmtId="0" fontId="5" fillId="0" borderId="16" xfId="1" applyFont="1" applyBorder="1" applyAlignment="1" applyProtection="1">
      <alignment horizontal="center" vertical="center"/>
      <protection hidden="1"/>
    </xf>
    <xf numFmtId="166" fontId="9" fillId="0" borderId="13" xfId="1" applyNumberFormat="1" applyFont="1" applyBorder="1" applyAlignment="1" applyProtection="1">
      <alignment horizontal="center" vertical="center"/>
      <protection locked="0"/>
    </xf>
    <xf numFmtId="166" fontId="9" fillId="0" borderId="23" xfId="1" applyNumberFormat="1" applyFont="1" applyBorder="1" applyAlignment="1" applyProtection="1">
      <alignment horizontal="center" vertical="center"/>
      <protection locked="0"/>
    </xf>
    <xf numFmtId="166" fontId="9" fillId="0" borderId="14" xfId="1" applyNumberFormat="1" applyFont="1" applyBorder="1" applyAlignment="1" applyProtection="1">
      <alignment horizontal="center" vertical="center"/>
      <protection locked="0"/>
    </xf>
    <xf numFmtId="166" fontId="9" fillId="0" borderId="15" xfId="1" applyNumberFormat="1" applyFont="1" applyBorder="1" applyAlignment="1" applyProtection="1">
      <alignment horizontal="center" vertical="center"/>
      <protection locked="0"/>
    </xf>
    <xf numFmtId="166" fontId="9" fillId="0" borderId="24" xfId="1" applyNumberFormat="1" applyFont="1" applyBorder="1" applyAlignment="1" applyProtection="1">
      <alignment horizontal="center" vertical="center"/>
      <protection locked="0"/>
    </xf>
    <xf numFmtId="166" fontId="9" fillId="0" borderId="16" xfId="1" applyNumberFormat="1" applyFont="1" applyBorder="1" applyAlignment="1" applyProtection="1">
      <alignment horizontal="center" vertical="center"/>
      <protection locked="0"/>
    </xf>
    <xf numFmtId="0" fontId="12" fillId="0" borderId="20" xfId="1" quotePrefix="1" applyFont="1" applyBorder="1" applyAlignment="1" applyProtection="1">
      <alignment horizontal="center" vertical="center"/>
      <protection hidden="1"/>
    </xf>
    <xf numFmtId="0" fontId="12" fillId="0" borderId="22" xfId="1" quotePrefix="1" applyFont="1" applyBorder="1" applyAlignment="1" applyProtection="1">
      <alignment horizontal="center" vertical="center"/>
      <protection hidden="1"/>
    </xf>
    <xf numFmtId="0" fontId="5" fillId="0" borderId="20" xfId="1" applyFont="1" applyBorder="1" applyAlignment="1" applyProtection="1">
      <alignment horizontal="center" vertical="center"/>
      <protection hidden="1"/>
    </xf>
    <xf numFmtId="0" fontId="5" fillId="0" borderId="22" xfId="1" applyFont="1" applyBorder="1" applyAlignment="1" applyProtection="1">
      <alignment horizontal="center" vertical="center"/>
      <protection hidden="1"/>
    </xf>
    <xf numFmtId="0" fontId="5" fillId="0" borderId="13" xfId="1" applyFont="1" applyBorder="1" applyAlignment="1" applyProtection="1">
      <alignment horizontal="center" vertical="center" wrapText="1"/>
      <protection hidden="1"/>
    </xf>
    <xf numFmtId="0" fontId="5" fillId="0" borderId="23" xfId="1" applyFont="1" applyBorder="1" applyAlignment="1" applyProtection="1">
      <alignment horizontal="center" vertical="center" wrapText="1"/>
      <protection hidden="1"/>
    </xf>
    <xf numFmtId="0" fontId="5" fillId="0" borderId="14" xfId="1" applyFont="1" applyBorder="1" applyAlignment="1" applyProtection="1">
      <alignment horizontal="center" vertical="center" wrapText="1"/>
      <protection hidden="1"/>
    </xf>
    <xf numFmtId="0" fontId="5" fillId="0" borderId="15" xfId="1" applyFont="1" applyBorder="1" applyAlignment="1" applyProtection="1">
      <alignment horizontal="center" vertical="center" wrapText="1"/>
      <protection hidden="1"/>
    </xf>
    <xf numFmtId="0" fontId="5" fillId="0" borderId="24" xfId="1" applyFont="1" applyBorder="1" applyAlignment="1" applyProtection="1">
      <alignment horizontal="center" vertical="center" wrapText="1"/>
      <protection hidden="1"/>
    </xf>
    <xf numFmtId="0" fontId="5" fillId="0" borderId="16" xfId="1" applyFont="1" applyBorder="1" applyAlignment="1" applyProtection="1">
      <alignment horizontal="center" vertical="center" wrapText="1"/>
      <protection hidden="1"/>
    </xf>
    <xf numFmtId="0" fontId="5" fillId="0" borderId="17" xfId="1" applyFont="1" applyBorder="1" applyAlignment="1" applyProtection="1">
      <alignment horizontal="left" vertical="center" wrapText="1"/>
      <protection hidden="1"/>
    </xf>
    <xf numFmtId="0" fontId="5" fillId="0" borderId="18" xfId="1" applyFont="1" applyBorder="1" applyAlignment="1" applyProtection="1">
      <alignment horizontal="left" vertical="center" wrapText="1"/>
      <protection hidden="1"/>
    </xf>
    <xf numFmtId="0" fontId="5" fillId="0" borderId="19" xfId="1" applyFont="1" applyBorder="1" applyAlignment="1" applyProtection="1">
      <alignment horizontal="left" vertical="center" wrapText="1"/>
      <protection hidden="1"/>
    </xf>
    <xf numFmtId="0" fontId="6" fillId="0" borderId="17" xfId="1" applyFont="1" applyBorder="1" applyAlignment="1" applyProtection="1">
      <alignment horizontal="left" vertical="center"/>
      <protection hidden="1"/>
    </xf>
    <xf numFmtId="0" fontId="6" fillId="0" borderId="18" xfId="1" applyFont="1" applyBorder="1" applyAlignment="1" applyProtection="1">
      <alignment horizontal="left" vertical="center"/>
      <protection hidden="1"/>
    </xf>
    <xf numFmtId="0" fontId="6" fillId="0" borderId="19" xfId="1" applyFont="1" applyBorder="1" applyAlignment="1" applyProtection="1">
      <alignment horizontal="left" vertical="center"/>
      <protection hidden="1"/>
    </xf>
    <xf numFmtId="166" fontId="13" fillId="0" borderId="0" xfId="1" applyNumberFormat="1" applyFont="1" applyAlignment="1" applyProtection="1">
      <alignment horizontal="right" vertical="center"/>
      <protection hidden="1"/>
    </xf>
    <xf numFmtId="0" fontId="5" fillId="2" borderId="17" xfId="1" applyFont="1" applyFill="1" applyBorder="1" applyAlignment="1" applyProtection="1">
      <alignment horizontal="center" vertical="center"/>
      <protection hidden="1"/>
    </xf>
    <xf numFmtId="0" fontId="5" fillId="2" borderId="19" xfId="1" applyFont="1" applyFill="1" applyBorder="1" applyAlignment="1" applyProtection="1">
      <alignment horizontal="center" vertical="center"/>
      <protection hidden="1"/>
    </xf>
    <xf numFmtId="169" fontId="13" fillId="2" borderId="17" xfId="1" applyNumberFormat="1" applyFont="1" applyFill="1" applyBorder="1" applyAlignment="1" applyProtection="1">
      <alignment horizontal="center" vertical="center"/>
      <protection locked="0"/>
    </xf>
    <xf numFmtId="169" fontId="13" fillId="2" borderId="18" xfId="1" applyNumberFormat="1" applyFont="1" applyFill="1" applyBorder="1" applyAlignment="1" applyProtection="1">
      <alignment horizontal="center" vertical="center"/>
      <protection locked="0"/>
    </xf>
    <xf numFmtId="169" fontId="13" fillId="2" borderId="19" xfId="1" applyNumberFormat="1" applyFont="1" applyFill="1" applyBorder="1" applyAlignment="1" applyProtection="1">
      <alignment horizontal="center" vertical="center"/>
      <protection locked="0"/>
    </xf>
    <xf numFmtId="166" fontId="13" fillId="2" borderId="10" xfId="1" applyNumberFormat="1" applyFont="1" applyFill="1" applyBorder="1" applyAlignment="1" applyProtection="1">
      <alignment horizontal="right" vertical="center"/>
      <protection locked="0"/>
    </xf>
    <xf numFmtId="0" fontId="6" fillId="0" borderId="17" xfId="1" applyFont="1" applyBorder="1" applyAlignment="1" applyProtection="1">
      <alignment vertical="center"/>
      <protection hidden="1"/>
    </xf>
    <xf numFmtId="0" fontId="6" fillId="0" borderId="18" xfId="1" applyFont="1" applyBorder="1" applyAlignment="1" applyProtection="1">
      <alignment vertical="center"/>
      <protection hidden="1"/>
    </xf>
    <xf numFmtId="0" fontId="6" fillId="0" borderId="19" xfId="1" applyFont="1" applyBorder="1" applyAlignment="1" applyProtection="1">
      <alignment vertical="center"/>
      <protection hidden="1"/>
    </xf>
    <xf numFmtId="165" fontId="6" fillId="0" borderId="17" xfId="1" applyNumberFormat="1" applyFont="1" applyBorder="1" applyAlignment="1" applyProtection="1">
      <alignment horizontal="center" vertical="center"/>
      <protection hidden="1"/>
    </xf>
    <xf numFmtId="165" fontId="6" fillId="0" borderId="18" xfId="1" applyNumberFormat="1" applyFont="1" applyBorder="1" applyAlignment="1" applyProtection="1">
      <alignment horizontal="center" vertical="center"/>
      <protection hidden="1"/>
    </xf>
    <xf numFmtId="165" fontId="6" fillId="0" borderId="19" xfId="1" applyNumberFormat="1" applyFont="1" applyBorder="1" applyAlignment="1" applyProtection="1">
      <alignment horizontal="center" vertical="center"/>
      <protection hidden="1"/>
    </xf>
    <xf numFmtId="166" fontId="5" fillId="0" borderId="17" xfId="1" applyNumberFormat="1" applyFont="1" applyBorder="1" applyAlignment="1" applyProtection="1">
      <alignment horizontal="center" vertical="center"/>
      <protection locked="0"/>
    </xf>
    <xf numFmtId="166" fontId="5" fillId="0" borderId="18" xfId="1" applyNumberFormat="1" applyFont="1" applyBorder="1" applyAlignment="1" applyProtection="1">
      <alignment horizontal="center" vertical="center"/>
      <protection locked="0"/>
    </xf>
    <xf numFmtId="166" fontId="5" fillId="0" borderId="19" xfId="1" applyNumberFormat="1" applyFont="1" applyBorder="1" applyAlignment="1" applyProtection="1">
      <alignment horizontal="center" vertical="center"/>
      <protection locked="0"/>
    </xf>
    <xf numFmtId="166" fontId="9" fillId="0" borderId="10" xfId="1" applyNumberFormat="1" applyFont="1" applyBorder="1" applyAlignment="1" applyProtection="1">
      <alignment horizontal="right" vertical="center"/>
      <protection hidden="1"/>
    </xf>
    <xf numFmtId="168" fontId="5" fillId="2" borderId="17" xfId="1" applyNumberFormat="1" applyFont="1" applyFill="1" applyBorder="1" applyAlignment="1" applyProtection="1">
      <alignment horizontal="center" vertical="center"/>
      <protection locked="0"/>
    </xf>
    <xf numFmtId="168" fontId="5" fillId="2" borderId="18" xfId="1" applyNumberFormat="1" applyFont="1" applyFill="1" applyBorder="1" applyAlignment="1" applyProtection="1">
      <alignment horizontal="center" vertical="center"/>
      <protection locked="0"/>
    </xf>
    <xf numFmtId="168" fontId="5" fillId="2" borderId="19" xfId="1" applyNumberFormat="1" applyFont="1" applyFill="1" applyBorder="1" applyAlignment="1" applyProtection="1">
      <alignment horizontal="center" vertical="center"/>
      <protection locked="0"/>
    </xf>
    <xf numFmtId="170" fontId="9" fillId="0" borderId="17" xfId="1" applyNumberFormat="1" applyFont="1" applyBorder="1" applyAlignment="1" applyProtection="1">
      <alignment horizontal="center" vertical="center"/>
      <protection locked="0"/>
    </xf>
    <xf numFmtId="170" fontId="9" fillId="0" borderId="18" xfId="1" applyNumberFormat="1" applyFont="1" applyBorder="1" applyAlignment="1" applyProtection="1">
      <alignment horizontal="center" vertical="center"/>
      <protection locked="0"/>
    </xf>
    <xf numFmtId="170" fontId="9" fillId="0" borderId="19" xfId="1" applyNumberFormat="1" applyFont="1" applyBorder="1" applyAlignment="1" applyProtection="1">
      <alignment horizontal="center" vertical="center"/>
      <protection locked="0"/>
    </xf>
    <xf numFmtId="0" fontId="7" fillId="0" borderId="17" xfId="1" applyFont="1" applyBorder="1" applyAlignment="1" applyProtection="1">
      <alignment horizontal="center" vertical="center"/>
      <protection hidden="1"/>
    </xf>
    <xf numFmtId="0" fontId="7" fillId="0" borderId="19" xfId="1" applyFont="1" applyBorder="1" applyAlignment="1" applyProtection="1">
      <alignment horizontal="center" vertical="center"/>
      <protection hidden="1"/>
    </xf>
    <xf numFmtId="10" fontId="5" fillId="0" borderId="17" xfId="1" applyNumberFormat="1" applyFont="1" applyBorder="1" applyAlignment="1" applyProtection="1">
      <alignment horizontal="center" vertical="center"/>
      <protection locked="0"/>
    </xf>
    <xf numFmtId="10" fontId="5" fillId="0" borderId="19" xfId="1" applyNumberFormat="1" applyFont="1" applyBorder="1" applyAlignment="1" applyProtection="1">
      <alignment horizontal="center" vertical="center"/>
      <protection locked="0"/>
    </xf>
    <xf numFmtId="171" fontId="5" fillId="0" borderId="17" xfId="1" applyNumberFormat="1" applyFont="1" applyBorder="1" applyAlignment="1" applyProtection="1">
      <alignment horizontal="center" vertical="center"/>
      <protection locked="0"/>
    </xf>
    <xf numFmtId="171" fontId="5" fillId="0" borderId="19" xfId="1" applyNumberFormat="1" applyFont="1" applyBorder="1" applyAlignment="1" applyProtection="1">
      <alignment horizontal="center" vertical="center"/>
      <protection locked="0"/>
    </xf>
    <xf numFmtId="0" fontId="5" fillId="0" borderId="21" xfId="1" applyFont="1" applyBorder="1" applyAlignment="1" applyProtection="1">
      <alignment horizontal="center" vertical="center"/>
      <protection hidden="1"/>
    </xf>
    <xf numFmtId="0" fontId="0" fillId="0" borderId="13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0" xfId="0" applyBorder="1" applyAlignment="1">
      <alignment horizontal="center"/>
    </xf>
    <xf numFmtId="0" fontId="6" fillId="2" borderId="20" xfId="1" applyFont="1" applyFill="1" applyBorder="1" applyAlignment="1" applyProtection="1">
      <alignment horizontal="center" vertical="center" textRotation="90" wrapText="1"/>
      <protection hidden="1"/>
    </xf>
    <xf numFmtId="0" fontId="6" fillId="2" borderId="21" xfId="1" applyFont="1" applyFill="1" applyBorder="1" applyAlignment="1" applyProtection="1">
      <alignment horizontal="center" vertical="center" textRotation="90" wrapText="1"/>
      <protection hidden="1"/>
    </xf>
    <xf numFmtId="0" fontId="6" fillId="2" borderId="22" xfId="1" applyFont="1" applyFill="1" applyBorder="1" applyAlignment="1" applyProtection="1">
      <alignment horizontal="center" vertical="center" textRotation="90" wrapText="1"/>
      <protection hidden="1"/>
    </xf>
    <xf numFmtId="0" fontId="5" fillId="0" borderId="23" xfId="1" applyFont="1" applyBorder="1" applyAlignment="1" applyProtection="1">
      <alignment horizontal="left" vertical="center"/>
      <protection hidden="1"/>
    </xf>
    <xf numFmtId="0" fontId="0" fillId="0" borderId="15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23" xfId="0" applyBorder="1" applyAlignment="1">
      <alignment horizontal="center"/>
    </xf>
    <xf numFmtId="0" fontId="0" fillId="0" borderId="14" xfId="0" applyBorder="1" applyAlignment="1">
      <alignment horizontal="center"/>
    </xf>
    <xf numFmtId="0" fontId="5" fillId="0" borderId="13" xfId="1" applyFont="1" applyBorder="1" applyAlignment="1" applyProtection="1">
      <alignment horizontal="left" vertical="center" wrapText="1"/>
      <protection hidden="1"/>
    </xf>
    <xf numFmtId="0" fontId="5" fillId="0" borderId="23" xfId="1" applyFont="1" applyBorder="1" applyAlignment="1" applyProtection="1">
      <alignment horizontal="left" vertical="center" wrapText="1"/>
      <protection hidden="1"/>
    </xf>
    <xf numFmtId="0" fontId="5" fillId="0" borderId="14" xfId="1" applyFont="1" applyBorder="1" applyAlignment="1" applyProtection="1">
      <alignment horizontal="left" vertical="center" wrapText="1"/>
      <protection hidden="1"/>
    </xf>
    <xf numFmtId="0" fontId="5" fillId="0" borderId="15" xfId="1" applyFont="1" applyBorder="1" applyAlignment="1" applyProtection="1">
      <alignment horizontal="left" vertical="center" wrapText="1"/>
      <protection hidden="1"/>
    </xf>
    <xf numFmtId="0" fontId="5" fillId="0" borderId="24" xfId="1" applyFont="1" applyBorder="1" applyAlignment="1" applyProtection="1">
      <alignment horizontal="left" vertical="center" wrapText="1"/>
      <protection hidden="1"/>
    </xf>
    <xf numFmtId="0" fontId="5" fillId="0" borderId="16" xfId="1" applyFont="1" applyBorder="1" applyAlignment="1" applyProtection="1">
      <alignment horizontal="left" vertical="center" wrapText="1"/>
      <protection hidden="1"/>
    </xf>
    <xf numFmtId="49" fontId="5" fillId="0" borderId="17" xfId="1" applyNumberFormat="1" applyFont="1" applyBorder="1" applyAlignment="1" applyProtection="1">
      <alignment horizontal="center" vertical="center"/>
      <protection hidden="1"/>
    </xf>
    <xf numFmtId="49" fontId="5" fillId="0" borderId="19" xfId="1" quotePrefix="1" applyNumberFormat="1" applyFont="1" applyBorder="1" applyAlignment="1" applyProtection="1">
      <alignment horizontal="center" vertical="center"/>
      <protection hidden="1"/>
    </xf>
    <xf numFmtId="0" fontId="17" fillId="0" borderId="17" xfId="1" quotePrefix="1" applyFont="1" applyBorder="1" applyAlignment="1" applyProtection="1">
      <alignment horizontal="left" vertical="center"/>
      <protection locked="0"/>
    </xf>
    <xf numFmtId="0" fontId="17" fillId="0" borderId="18" xfId="1" quotePrefix="1" applyFont="1" applyBorder="1" applyAlignment="1" applyProtection="1">
      <alignment horizontal="left" vertical="center"/>
      <protection locked="0"/>
    </xf>
    <xf numFmtId="0" fontId="17" fillId="0" borderId="19" xfId="1" quotePrefix="1" applyFont="1" applyBorder="1" applyAlignment="1" applyProtection="1">
      <alignment horizontal="left" vertical="center"/>
      <protection locked="0"/>
    </xf>
    <xf numFmtId="0" fontId="6" fillId="0" borderId="13" xfId="1" applyFont="1" applyBorder="1" applyAlignment="1" applyProtection="1">
      <alignment horizontal="center" vertical="center"/>
      <protection hidden="1"/>
    </xf>
    <xf numFmtId="0" fontId="6" fillId="0" borderId="23" xfId="1" applyFont="1" applyBorder="1" applyAlignment="1" applyProtection="1">
      <alignment horizontal="center" vertical="center"/>
      <protection hidden="1"/>
    </xf>
    <xf numFmtId="0" fontId="6" fillId="0" borderId="14" xfId="1" applyFont="1" applyBorder="1" applyAlignment="1" applyProtection="1">
      <alignment horizontal="center" vertical="center"/>
      <protection hidden="1"/>
    </xf>
    <xf numFmtId="0" fontId="6" fillId="0" borderId="15" xfId="1" applyFont="1" applyBorder="1" applyAlignment="1" applyProtection="1">
      <alignment horizontal="center" vertical="center"/>
      <protection hidden="1"/>
    </xf>
    <xf numFmtId="0" fontId="6" fillId="0" borderId="24" xfId="1" applyFont="1" applyBorder="1" applyAlignment="1" applyProtection="1">
      <alignment horizontal="center" vertical="center"/>
      <protection hidden="1"/>
    </xf>
    <xf numFmtId="0" fontId="6" fillId="0" borderId="16" xfId="1" applyFont="1" applyBorder="1" applyAlignment="1" applyProtection="1">
      <alignment horizontal="center" vertical="center"/>
      <protection hidden="1"/>
    </xf>
    <xf numFmtId="0" fontId="5" fillId="0" borderId="23" xfId="1" applyFont="1" applyBorder="1" applyAlignment="1" applyProtection="1">
      <alignment horizontal="center" vertical="center"/>
      <protection locked="0" hidden="1"/>
    </xf>
    <xf numFmtId="0" fontId="5" fillId="0" borderId="14" xfId="1" applyFont="1" applyBorder="1" applyAlignment="1" applyProtection="1">
      <alignment horizontal="center" vertical="center"/>
      <protection locked="0" hidden="1"/>
    </xf>
    <xf numFmtId="0" fontId="5" fillId="0" borderId="24" xfId="1" applyFont="1" applyBorder="1" applyAlignment="1" applyProtection="1">
      <alignment horizontal="center" vertical="center"/>
      <protection locked="0" hidden="1"/>
    </xf>
    <xf numFmtId="0" fontId="5" fillId="0" borderId="16" xfId="1" applyFont="1" applyBorder="1" applyAlignment="1" applyProtection="1">
      <alignment horizontal="center" vertical="center"/>
      <protection locked="0" hidden="1"/>
    </xf>
    <xf numFmtId="0" fontId="5" fillId="0" borderId="23" xfId="1" applyFont="1" applyBorder="1" applyAlignment="1" applyProtection="1">
      <alignment horizontal="center" vertical="center"/>
      <protection hidden="1"/>
    </xf>
    <xf numFmtId="0" fontId="5" fillId="0" borderId="24" xfId="1" applyFont="1" applyBorder="1" applyAlignment="1" applyProtection="1">
      <alignment horizontal="center" vertical="center"/>
      <protection hidden="1"/>
    </xf>
    <xf numFmtId="0" fontId="5" fillId="0" borderId="11" xfId="1" applyFont="1" applyBorder="1" applyAlignment="1" applyProtection="1">
      <alignment horizontal="left" vertical="center" wrapText="1"/>
      <protection hidden="1"/>
    </xf>
    <xf numFmtId="0" fontId="5" fillId="0" borderId="0" xfId="1" applyFont="1" applyAlignment="1" applyProtection="1">
      <alignment horizontal="left" vertical="center" wrapText="1"/>
      <protection hidden="1"/>
    </xf>
    <xf numFmtId="0" fontId="5" fillId="0" borderId="12" xfId="1" applyFont="1" applyBorder="1" applyAlignment="1" applyProtection="1">
      <alignment horizontal="left" vertical="center" wrapText="1"/>
      <protection hidden="1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/>
    </xf>
  </cellXfs>
  <cellStyles count="3">
    <cellStyle name="Millares 2" xfId="2"/>
    <cellStyle name="Normal" xfId="0" builtinId="0"/>
    <cellStyle name="Normal_FORM29" xfId="1"/>
  </cellStyles>
  <dxfs count="2"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85725</xdr:colOff>
      <xdr:row>5</xdr:row>
      <xdr:rowOff>152400</xdr:rowOff>
    </xdr:from>
    <xdr:to>
      <xdr:col>37</xdr:col>
      <xdr:colOff>238125</xdr:colOff>
      <xdr:row>5</xdr:row>
      <xdr:rowOff>152400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xmlns="" id="{991FB03F-D7D1-4B2E-BF53-D427FCA4D42F}"/>
            </a:ext>
          </a:extLst>
        </xdr:cNvPr>
        <xdr:cNvSpPr>
          <a:spLocks noChangeShapeType="1"/>
        </xdr:cNvSpPr>
      </xdr:nvSpPr>
      <xdr:spPr bwMode="auto">
        <a:xfrm>
          <a:off x="9048750" y="1047750"/>
          <a:ext cx="1524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47625</xdr:colOff>
      <xdr:row>60</xdr:row>
      <xdr:rowOff>0</xdr:rowOff>
    </xdr:from>
    <xdr:to>
      <xdr:col>33</xdr:col>
      <xdr:colOff>47625</xdr:colOff>
      <xdr:row>60</xdr:row>
      <xdr:rowOff>161925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xmlns="" id="{7602F962-7D24-46EF-9FB6-94D4FE417EC5}"/>
            </a:ext>
          </a:extLst>
        </xdr:cNvPr>
        <xdr:cNvSpPr>
          <a:spLocks noChangeShapeType="1"/>
        </xdr:cNvSpPr>
      </xdr:nvSpPr>
      <xdr:spPr bwMode="auto">
        <a:xfrm>
          <a:off x="8010525" y="1397317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19050</xdr:colOff>
      <xdr:row>61</xdr:row>
      <xdr:rowOff>37589</xdr:rowOff>
    </xdr:from>
    <xdr:to>
      <xdr:col>43</xdr:col>
      <xdr:colOff>304800</xdr:colOff>
      <xdr:row>61</xdr:row>
      <xdr:rowOff>37589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xmlns="" id="{6E82050B-7C15-4E2A-921E-098DAD66AF65}"/>
            </a:ext>
          </a:extLst>
        </xdr:cNvPr>
        <xdr:cNvSpPr>
          <a:spLocks noChangeShapeType="1"/>
        </xdr:cNvSpPr>
      </xdr:nvSpPr>
      <xdr:spPr bwMode="auto">
        <a:xfrm>
          <a:off x="5991225" y="14210789"/>
          <a:ext cx="4619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276225</xdr:colOff>
      <xdr:row>60</xdr:row>
      <xdr:rowOff>161925</xdr:rowOff>
    </xdr:from>
    <xdr:to>
      <xdr:col>43</xdr:col>
      <xdr:colOff>295275</xdr:colOff>
      <xdr:row>60</xdr:row>
      <xdr:rowOff>314325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xmlns="" id="{7636F7CF-FC3F-45FD-8653-DD861CD19ED3}"/>
            </a:ext>
          </a:extLst>
        </xdr:cNvPr>
        <xdr:cNvSpPr>
          <a:spLocks noChangeShapeType="1"/>
        </xdr:cNvSpPr>
      </xdr:nvSpPr>
      <xdr:spPr bwMode="auto">
        <a:xfrm>
          <a:off x="10582275" y="14135100"/>
          <a:ext cx="19050" cy="381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20</xdr:col>
      <xdr:colOff>190500</xdr:colOff>
      <xdr:row>60</xdr:row>
      <xdr:rowOff>161925</xdr:rowOff>
    </xdr:from>
    <xdr:to>
      <xdr:col>20</xdr:col>
      <xdr:colOff>190500</xdr:colOff>
      <xdr:row>61</xdr:row>
      <xdr:rowOff>114300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xmlns="" id="{B6222EA5-CDA9-4B2A-9C4B-0743B8F74565}"/>
            </a:ext>
          </a:extLst>
        </xdr:cNvPr>
        <xdr:cNvSpPr>
          <a:spLocks noChangeShapeType="1"/>
        </xdr:cNvSpPr>
      </xdr:nvSpPr>
      <xdr:spPr bwMode="auto">
        <a:xfrm>
          <a:off x="5962650" y="14135100"/>
          <a:ext cx="0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43</xdr:col>
      <xdr:colOff>657225</xdr:colOff>
      <xdr:row>90</xdr:row>
      <xdr:rowOff>0</xdr:rowOff>
    </xdr:from>
    <xdr:to>
      <xdr:col>43</xdr:col>
      <xdr:colOff>657225</xdr:colOff>
      <xdr:row>90</xdr:row>
      <xdr:rowOff>142875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xmlns="" id="{7BC87001-9053-4744-9F41-BF23B2079ED6}"/>
            </a:ext>
          </a:extLst>
        </xdr:cNvPr>
        <xdr:cNvSpPr>
          <a:spLocks noChangeShapeType="1"/>
        </xdr:cNvSpPr>
      </xdr:nvSpPr>
      <xdr:spPr bwMode="auto">
        <a:xfrm>
          <a:off x="10963275" y="20754975"/>
          <a:ext cx="0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66"/>
  <sheetViews>
    <sheetView topLeftCell="F61" zoomScale="130" zoomScaleNormal="130" workbookViewId="0">
      <selection activeCell="F66" sqref="F66:I66"/>
    </sheetView>
  </sheetViews>
  <sheetFormatPr baseColWidth="10" defaultRowHeight="15" x14ac:dyDescent="0.25"/>
  <cols>
    <col min="1" max="1" width="8.85546875" customWidth="1"/>
    <col min="2" max="2" width="13.85546875" customWidth="1"/>
    <col min="3" max="3" width="25.5703125" customWidth="1"/>
    <col min="4" max="4" width="13.140625" customWidth="1"/>
    <col min="8" max="8" width="14.42578125" customWidth="1"/>
    <col min="9" max="9" width="12.42578125" customWidth="1"/>
    <col min="10" max="10" width="11.85546875" bestFit="1" customWidth="1"/>
  </cols>
  <sheetData>
    <row r="1" spans="1:15" x14ac:dyDescent="0.25">
      <c r="L1" t="s">
        <v>170</v>
      </c>
      <c r="N1" s="47"/>
    </row>
    <row r="2" spans="1:15" ht="18.75" x14ac:dyDescent="0.3">
      <c r="D2" s="105" t="s">
        <v>0</v>
      </c>
      <c r="E2" s="105"/>
      <c r="F2" s="105"/>
      <c r="H2" s="42"/>
      <c r="I2" s="50"/>
    </row>
    <row r="5" spans="1:15" x14ac:dyDescent="0.25">
      <c r="A5" s="51" t="s">
        <v>12</v>
      </c>
      <c r="B5" s="51" t="s">
        <v>1</v>
      </c>
      <c r="C5" s="51" t="s">
        <v>3</v>
      </c>
      <c r="D5" s="52" t="s">
        <v>5</v>
      </c>
      <c r="E5" s="52" t="s">
        <v>8</v>
      </c>
      <c r="F5" s="52" t="s">
        <v>144</v>
      </c>
      <c r="G5" s="52" t="s">
        <v>6</v>
      </c>
      <c r="H5" s="52" t="s">
        <v>9</v>
      </c>
      <c r="I5" s="52" t="s">
        <v>10</v>
      </c>
      <c r="J5" s="52" t="s">
        <v>11</v>
      </c>
      <c r="L5" s="100" t="s">
        <v>156</v>
      </c>
      <c r="M5" s="100"/>
      <c r="N5" s="100"/>
      <c r="O5" s="1"/>
    </row>
    <row r="6" spans="1:15" x14ac:dyDescent="0.25">
      <c r="A6" s="53"/>
      <c r="B6" s="53" t="s">
        <v>2</v>
      </c>
      <c r="C6" s="54" t="s">
        <v>4</v>
      </c>
      <c r="D6" s="55"/>
      <c r="E6" s="55"/>
      <c r="F6" s="56" t="s">
        <v>145</v>
      </c>
      <c r="G6" s="54" t="s">
        <v>7</v>
      </c>
      <c r="H6" s="55"/>
      <c r="I6" s="57"/>
      <c r="J6" s="55"/>
      <c r="L6" s="100" t="s">
        <v>157</v>
      </c>
      <c r="M6" s="100"/>
      <c r="N6" s="100"/>
      <c r="O6" s="1"/>
    </row>
    <row r="7" spans="1:15" ht="15.75" x14ac:dyDescent="0.25">
      <c r="A7" s="33"/>
      <c r="B7" s="1"/>
      <c r="C7" s="1"/>
      <c r="D7" s="1"/>
      <c r="E7" s="58"/>
      <c r="F7" s="59"/>
      <c r="G7" s="59"/>
      <c r="H7" s="59"/>
      <c r="I7" s="59"/>
      <c r="J7" s="60"/>
      <c r="L7" s="101" t="s">
        <v>158</v>
      </c>
      <c r="M7" s="101"/>
      <c r="N7" s="101"/>
      <c r="O7" s="1"/>
    </row>
    <row r="8" spans="1:15" ht="15.75" x14ac:dyDescent="0.25">
      <c r="A8" s="33"/>
      <c r="B8" s="1"/>
      <c r="C8" s="1"/>
      <c r="D8" s="1"/>
      <c r="E8" s="58"/>
      <c r="F8" s="59"/>
      <c r="G8" s="59"/>
      <c r="H8" s="59"/>
      <c r="I8" s="59"/>
      <c r="J8" s="60"/>
    </row>
    <row r="9" spans="1:15" ht="15.75" x14ac:dyDescent="0.25">
      <c r="A9" s="33"/>
      <c r="B9" s="1"/>
      <c r="C9" s="1"/>
      <c r="D9" s="1"/>
      <c r="E9" s="58"/>
      <c r="F9" s="59"/>
      <c r="G9" s="59"/>
      <c r="H9" s="59"/>
      <c r="I9" s="59"/>
      <c r="J9" s="60"/>
      <c r="L9" s="102" t="s">
        <v>166</v>
      </c>
      <c r="M9" s="103"/>
      <c r="N9" s="103"/>
      <c r="O9" s="104"/>
    </row>
    <row r="10" spans="1:15" ht="15.75" x14ac:dyDescent="0.25">
      <c r="A10" s="33"/>
      <c r="B10" s="1"/>
      <c r="C10" s="1"/>
      <c r="D10" s="1"/>
      <c r="E10" s="58"/>
      <c r="F10" s="59"/>
      <c r="G10" s="59"/>
      <c r="H10" s="59"/>
      <c r="I10" s="61"/>
      <c r="J10" s="60"/>
    </row>
    <row r="11" spans="1:15" ht="15.75" x14ac:dyDescent="0.25">
      <c r="A11" s="1"/>
      <c r="B11" s="1"/>
      <c r="C11" s="1"/>
      <c r="D11" s="1"/>
      <c r="E11" s="58"/>
      <c r="F11" s="59"/>
      <c r="G11" s="59"/>
      <c r="H11" s="59"/>
      <c r="I11" s="59"/>
      <c r="J11" s="60"/>
      <c r="L11" s="5" t="s">
        <v>159</v>
      </c>
      <c r="M11" s="6"/>
      <c r="N11" s="31"/>
      <c r="O11" s="1"/>
    </row>
    <row r="12" spans="1:15" ht="15.75" x14ac:dyDescent="0.25">
      <c r="A12" s="1"/>
      <c r="B12" s="1"/>
      <c r="C12" s="1"/>
      <c r="D12" s="1"/>
      <c r="E12" s="58"/>
      <c r="F12" s="59"/>
      <c r="G12" s="59"/>
      <c r="H12" s="59"/>
      <c r="I12" s="59"/>
      <c r="J12" s="60"/>
      <c r="L12" s="5" t="s">
        <v>168</v>
      </c>
      <c r="M12" s="6"/>
      <c r="N12" s="31"/>
      <c r="O12" s="1"/>
    </row>
    <row r="13" spans="1:15" ht="15.75" x14ac:dyDescent="0.25">
      <c r="A13" s="1"/>
      <c r="B13" s="1"/>
      <c r="C13" s="1"/>
      <c r="D13" s="1"/>
      <c r="E13" s="58"/>
      <c r="F13" s="59"/>
      <c r="G13" s="59"/>
      <c r="H13" s="59"/>
      <c r="I13" s="59"/>
      <c r="J13" s="60"/>
      <c r="L13" s="5" t="s">
        <v>160</v>
      </c>
      <c r="M13" s="6"/>
      <c r="N13" s="31"/>
      <c r="O13" s="1"/>
    </row>
    <row r="14" spans="1:15" ht="15.75" x14ac:dyDescent="0.25">
      <c r="A14" s="1"/>
      <c r="B14" s="1"/>
      <c r="C14" s="1"/>
      <c r="D14" s="1"/>
      <c r="E14" s="58"/>
      <c r="F14" s="59"/>
      <c r="G14" s="59"/>
      <c r="H14" s="59"/>
      <c r="I14" s="59"/>
      <c r="J14" s="60"/>
      <c r="L14" s="5" t="s">
        <v>161</v>
      </c>
      <c r="M14" s="6"/>
      <c r="N14" s="31"/>
      <c r="O14" s="1"/>
    </row>
    <row r="15" spans="1:15" ht="15.75" x14ac:dyDescent="0.25">
      <c r="A15" s="1"/>
      <c r="B15" s="1"/>
      <c r="C15" s="1"/>
      <c r="D15" s="1"/>
      <c r="E15" s="58"/>
      <c r="F15" s="59"/>
      <c r="G15" s="59"/>
      <c r="H15" s="59"/>
      <c r="I15" s="59"/>
      <c r="J15" s="60"/>
      <c r="L15" s="5" t="s">
        <v>162</v>
      </c>
      <c r="M15" s="6"/>
      <c r="N15" s="31"/>
      <c r="O15" s="1"/>
    </row>
    <row r="16" spans="1:15" ht="15.75" x14ac:dyDescent="0.25">
      <c r="A16" s="1"/>
      <c r="B16" s="1"/>
      <c r="C16" s="1"/>
      <c r="D16" s="1"/>
      <c r="E16" s="58"/>
      <c r="F16" s="59"/>
      <c r="G16" s="59"/>
      <c r="H16" s="59"/>
      <c r="I16" s="59"/>
      <c r="J16" s="60"/>
      <c r="L16" s="5"/>
      <c r="M16" s="6" t="s">
        <v>163</v>
      </c>
      <c r="N16" s="1"/>
      <c r="O16" s="31"/>
    </row>
    <row r="17" spans="1:15" ht="15.75" x14ac:dyDescent="0.25">
      <c r="A17" s="1"/>
      <c r="B17" s="1"/>
      <c r="C17" s="1"/>
      <c r="D17" s="1"/>
      <c r="E17" s="58"/>
      <c r="F17" s="59"/>
      <c r="G17" s="59"/>
      <c r="H17" s="59"/>
      <c r="I17" s="59"/>
      <c r="J17" s="60"/>
      <c r="L17" t="s">
        <v>164</v>
      </c>
    </row>
    <row r="18" spans="1:15" ht="15.75" x14ac:dyDescent="0.25">
      <c r="A18" s="1"/>
      <c r="B18" s="1"/>
      <c r="C18" s="1"/>
      <c r="D18" s="1"/>
      <c r="E18" s="58"/>
      <c r="F18" s="59"/>
      <c r="G18" s="59"/>
      <c r="H18" s="59"/>
      <c r="I18" s="59"/>
      <c r="J18" s="60"/>
    </row>
    <row r="19" spans="1:15" ht="15.75" x14ac:dyDescent="0.25">
      <c r="A19" s="1"/>
      <c r="B19" s="1"/>
      <c r="C19" s="1"/>
      <c r="D19" s="1"/>
      <c r="E19" s="58"/>
      <c r="F19" s="59"/>
      <c r="G19" s="59"/>
      <c r="H19" s="59"/>
      <c r="I19" s="59"/>
      <c r="J19" s="60"/>
      <c r="L19" s="5" t="s">
        <v>165</v>
      </c>
      <c r="M19" s="6"/>
      <c r="N19" s="31"/>
      <c r="O19" s="31"/>
    </row>
    <row r="20" spans="1:15" ht="15.75" x14ac:dyDescent="0.25">
      <c r="A20" s="1"/>
      <c r="B20" s="1"/>
      <c r="C20" s="1"/>
      <c r="D20" s="1"/>
      <c r="E20" s="58"/>
      <c r="F20" s="59"/>
      <c r="G20" s="59"/>
      <c r="H20" s="59"/>
      <c r="I20" s="59"/>
      <c r="J20" s="60"/>
    </row>
    <row r="21" spans="1:15" ht="15.75" x14ac:dyDescent="0.25">
      <c r="A21" s="1"/>
      <c r="B21" s="1"/>
      <c r="C21" s="1"/>
      <c r="D21" s="1"/>
      <c r="E21" s="58"/>
      <c r="F21" s="59"/>
      <c r="G21" s="59"/>
      <c r="H21" s="59"/>
      <c r="I21" s="59"/>
      <c r="J21" s="60"/>
    </row>
    <row r="22" spans="1:15" ht="15.75" x14ac:dyDescent="0.25">
      <c r="A22" s="1"/>
      <c r="B22" s="1"/>
      <c r="C22" s="1"/>
      <c r="D22" s="1"/>
      <c r="E22" s="58"/>
      <c r="F22" s="59"/>
      <c r="G22" s="59"/>
      <c r="H22" s="59"/>
      <c r="I22" s="59"/>
      <c r="J22" s="60"/>
    </row>
    <row r="23" spans="1:15" ht="15.75" x14ac:dyDescent="0.25">
      <c r="A23" s="1"/>
      <c r="B23" s="1"/>
      <c r="C23" s="1"/>
      <c r="D23" s="1"/>
      <c r="E23" s="58"/>
      <c r="F23" s="59"/>
      <c r="G23" s="59"/>
      <c r="H23" s="59"/>
      <c r="I23" s="59"/>
      <c r="J23" s="60"/>
    </row>
    <row r="24" spans="1:15" ht="15.75" x14ac:dyDescent="0.25">
      <c r="A24" s="1"/>
      <c r="B24" s="1"/>
      <c r="C24" s="1"/>
      <c r="D24" s="1"/>
      <c r="E24" s="58"/>
      <c r="F24" s="59"/>
      <c r="G24" s="59"/>
      <c r="H24" s="59"/>
      <c r="I24" s="59"/>
      <c r="J24" s="60"/>
    </row>
    <row r="25" spans="1:15" ht="15.75" x14ac:dyDescent="0.25">
      <c r="A25" s="1"/>
      <c r="B25" s="1"/>
      <c r="C25" s="1"/>
      <c r="D25" s="1"/>
      <c r="E25" s="58"/>
      <c r="F25" s="59"/>
      <c r="G25" s="59"/>
      <c r="H25" s="59"/>
      <c r="I25" s="59"/>
      <c r="J25" s="60"/>
    </row>
    <row r="26" spans="1:15" ht="15.75" x14ac:dyDescent="0.25">
      <c r="A26" s="1"/>
      <c r="B26" s="1"/>
      <c r="C26" s="1"/>
      <c r="D26" s="1"/>
      <c r="E26" s="58"/>
      <c r="F26" s="59"/>
      <c r="G26" s="59"/>
      <c r="H26" s="59"/>
      <c r="I26" s="59"/>
      <c r="J26" s="60"/>
    </row>
    <row r="27" spans="1:15" ht="15.75" x14ac:dyDescent="0.25">
      <c r="A27" s="1"/>
      <c r="B27" s="1"/>
      <c r="C27" s="1"/>
      <c r="D27" s="1"/>
      <c r="E27" s="58"/>
      <c r="F27" s="59"/>
      <c r="G27" s="59"/>
      <c r="H27" s="59"/>
      <c r="I27" s="59"/>
      <c r="J27" s="60"/>
    </row>
    <row r="28" spans="1:15" ht="15.75" x14ac:dyDescent="0.25">
      <c r="A28" s="1"/>
      <c r="B28" s="1"/>
      <c r="C28" s="1"/>
      <c r="D28" s="1"/>
      <c r="E28" s="58"/>
      <c r="F28" s="59"/>
      <c r="G28" s="59"/>
      <c r="H28" s="59"/>
      <c r="I28" s="59"/>
      <c r="J28" s="60"/>
    </row>
    <row r="29" spans="1:15" ht="15.75" x14ac:dyDescent="0.25">
      <c r="A29" s="1"/>
      <c r="B29" s="1"/>
      <c r="C29" s="1"/>
      <c r="D29" s="1"/>
      <c r="E29" s="58"/>
      <c r="F29" s="59"/>
      <c r="G29" s="59"/>
      <c r="H29" s="59"/>
      <c r="I29" s="59"/>
      <c r="J29" s="60"/>
    </row>
    <row r="30" spans="1:15" ht="15.75" x14ac:dyDescent="0.25">
      <c r="A30" s="1"/>
      <c r="B30" s="1"/>
      <c r="C30" s="1"/>
      <c r="D30" s="1"/>
      <c r="E30" s="58"/>
      <c r="F30" s="59"/>
      <c r="G30" s="59"/>
      <c r="H30" s="59"/>
      <c r="I30" s="59"/>
      <c r="J30" s="60"/>
    </row>
    <row r="31" spans="1:15" ht="18.75" x14ac:dyDescent="0.3">
      <c r="C31" s="95" t="s">
        <v>13</v>
      </c>
      <c r="D31" s="96"/>
      <c r="E31" s="62"/>
      <c r="F31" s="62"/>
      <c r="G31" s="62"/>
      <c r="H31" s="62"/>
      <c r="I31" s="62"/>
      <c r="J31" s="62"/>
    </row>
    <row r="32" spans="1:15" x14ac:dyDescent="0.25">
      <c r="C32" s="4"/>
      <c r="D32" s="4"/>
      <c r="E32" s="49"/>
      <c r="F32" s="49"/>
      <c r="G32" s="49"/>
      <c r="H32" s="49"/>
      <c r="I32" s="49"/>
      <c r="J32" s="49"/>
    </row>
    <row r="34" spans="1:10" ht="18.75" x14ac:dyDescent="0.3">
      <c r="A34" s="50" t="s">
        <v>14</v>
      </c>
    </row>
    <row r="35" spans="1:10" ht="15.75" x14ac:dyDescent="0.25">
      <c r="A35" s="33"/>
      <c r="B35" s="1"/>
      <c r="C35" s="1"/>
      <c r="D35" s="1"/>
      <c r="E35" s="58"/>
      <c r="F35" s="59"/>
      <c r="G35" s="59"/>
      <c r="H35" s="59"/>
      <c r="I35" s="59"/>
      <c r="J35" s="59"/>
    </row>
    <row r="36" spans="1:10" ht="15.75" x14ac:dyDescent="0.25">
      <c r="A36" s="1"/>
      <c r="B36" s="1"/>
      <c r="C36" s="1"/>
      <c r="D36" s="1"/>
      <c r="E36" s="58"/>
      <c r="F36" s="59"/>
      <c r="G36" s="59"/>
      <c r="H36" s="59"/>
      <c r="I36" s="59"/>
      <c r="J36" s="59"/>
    </row>
    <row r="37" spans="1:10" ht="15.75" x14ac:dyDescent="0.25">
      <c r="A37" s="1"/>
      <c r="B37" s="1"/>
      <c r="C37" s="1"/>
      <c r="D37" s="1"/>
      <c r="E37" s="58"/>
      <c r="F37" s="59"/>
      <c r="G37" s="59"/>
      <c r="H37" s="59"/>
      <c r="I37" s="59"/>
      <c r="J37" s="59"/>
    </row>
    <row r="38" spans="1:10" ht="15.75" x14ac:dyDescent="0.25">
      <c r="A38" s="1"/>
      <c r="B38" s="1"/>
      <c r="C38" s="1"/>
      <c r="D38" s="1"/>
      <c r="E38" s="58"/>
      <c r="F38" s="59"/>
      <c r="G38" s="59"/>
      <c r="H38" s="59"/>
      <c r="I38" s="59"/>
      <c r="J38" s="59"/>
    </row>
    <row r="39" spans="1:10" ht="15.75" x14ac:dyDescent="0.25">
      <c r="A39" s="1"/>
      <c r="B39" s="1"/>
      <c r="C39" s="1"/>
      <c r="D39" s="1"/>
      <c r="E39" s="58"/>
      <c r="F39" s="59"/>
      <c r="G39" s="59"/>
      <c r="H39" s="59"/>
      <c r="I39" s="59"/>
      <c r="J39" s="59"/>
    </row>
    <row r="40" spans="1:10" ht="15.75" x14ac:dyDescent="0.25">
      <c r="A40" s="1"/>
      <c r="B40" s="1"/>
      <c r="C40" s="1"/>
      <c r="D40" s="1"/>
      <c r="E40" s="58"/>
      <c r="F40" s="59"/>
      <c r="G40" s="59"/>
      <c r="H40" s="59"/>
      <c r="I40" s="59"/>
      <c r="J40" s="59"/>
    </row>
    <row r="41" spans="1:10" ht="15.75" x14ac:dyDescent="0.25">
      <c r="A41" s="1"/>
      <c r="B41" s="1"/>
      <c r="C41" s="1"/>
      <c r="D41" s="1"/>
      <c r="E41" s="58"/>
      <c r="F41" s="59"/>
      <c r="G41" s="59"/>
      <c r="H41" s="59"/>
      <c r="I41" s="59"/>
      <c r="J41" s="59"/>
    </row>
    <row r="42" spans="1:10" ht="15.75" x14ac:dyDescent="0.25">
      <c r="A42" s="1"/>
      <c r="B42" s="1"/>
      <c r="C42" s="1"/>
      <c r="D42" s="1"/>
      <c r="E42" s="58"/>
      <c r="F42" s="59"/>
      <c r="G42" s="59"/>
      <c r="H42" s="59"/>
      <c r="I42" s="59"/>
      <c r="J42" s="59"/>
    </row>
    <row r="43" spans="1:10" ht="15.75" x14ac:dyDescent="0.25">
      <c r="A43" s="1"/>
      <c r="B43" s="1"/>
      <c r="C43" s="1"/>
      <c r="D43" s="1"/>
      <c r="E43" s="58"/>
      <c r="F43" s="59"/>
      <c r="G43" s="59"/>
      <c r="H43" s="59"/>
      <c r="I43" s="59"/>
      <c r="J43" s="59"/>
    </row>
    <row r="44" spans="1:10" ht="15.75" x14ac:dyDescent="0.25">
      <c r="A44" s="1"/>
      <c r="B44" s="1"/>
      <c r="C44" s="1"/>
      <c r="D44" s="1"/>
      <c r="E44" s="58"/>
      <c r="F44" s="59"/>
      <c r="G44" s="59"/>
      <c r="H44" s="59"/>
      <c r="I44" s="59"/>
      <c r="J44" s="59"/>
    </row>
    <row r="45" spans="1:10" ht="15.75" x14ac:dyDescent="0.25">
      <c r="A45" s="1"/>
      <c r="B45" s="1"/>
      <c r="C45" s="1"/>
      <c r="D45" s="1"/>
      <c r="E45" s="58"/>
      <c r="F45" s="59"/>
      <c r="G45" s="59"/>
      <c r="H45" s="59"/>
      <c r="I45" s="59"/>
      <c r="J45" s="59"/>
    </row>
    <row r="46" spans="1:10" ht="15.75" x14ac:dyDescent="0.25">
      <c r="A46" s="1"/>
      <c r="B46" s="1"/>
      <c r="C46" s="1"/>
      <c r="D46" s="1"/>
      <c r="E46" s="58"/>
      <c r="F46" s="59"/>
      <c r="G46" s="59"/>
      <c r="H46" s="59"/>
      <c r="I46" s="59"/>
      <c r="J46" s="59"/>
    </row>
    <row r="47" spans="1:10" ht="18.75" x14ac:dyDescent="0.3">
      <c r="C47" s="95" t="s">
        <v>13</v>
      </c>
      <c r="D47" s="95"/>
      <c r="E47" s="59"/>
      <c r="F47" s="59"/>
      <c r="G47" s="59"/>
      <c r="H47" s="59"/>
      <c r="I47" s="59"/>
      <c r="J47" s="59"/>
    </row>
    <row r="48" spans="1:10" x14ac:dyDescent="0.25">
      <c r="C48" s="4"/>
      <c r="D48" s="4"/>
      <c r="E48" s="47"/>
      <c r="F48" s="47"/>
      <c r="G48" s="47"/>
      <c r="H48" s="47"/>
      <c r="I48" s="47"/>
      <c r="J48" s="47"/>
    </row>
    <row r="50" spans="1:10" ht="18.75" x14ac:dyDescent="0.3">
      <c r="A50" s="50" t="s">
        <v>15</v>
      </c>
    </row>
    <row r="51" spans="1:10" ht="15.75" x14ac:dyDescent="0.25">
      <c r="A51" s="33"/>
      <c r="B51" s="1"/>
      <c r="C51" s="1"/>
      <c r="D51" s="1"/>
      <c r="E51" s="58"/>
      <c r="F51" s="59"/>
      <c r="G51" s="59"/>
      <c r="H51" s="59"/>
      <c r="I51" s="59"/>
      <c r="J51" s="59"/>
    </row>
    <row r="52" spans="1:10" ht="15.75" x14ac:dyDescent="0.25">
      <c r="A52" s="1"/>
      <c r="B52" s="1"/>
      <c r="C52" s="1"/>
      <c r="D52" s="1"/>
      <c r="E52" s="58"/>
      <c r="F52" s="59"/>
      <c r="G52" s="59"/>
      <c r="H52" s="59"/>
      <c r="I52" s="59"/>
      <c r="J52" s="59"/>
    </row>
    <row r="53" spans="1:10" ht="15.75" x14ac:dyDescent="0.25">
      <c r="A53" s="1"/>
      <c r="B53" s="1"/>
      <c r="C53" s="1"/>
      <c r="D53" s="1"/>
      <c r="E53" s="58"/>
      <c r="F53" s="59"/>
      <c r="G53" s="59"/>
      <c r="H53" s="59"/>
      <c r="I53" s="59"/>
      <c r="J53" s="59"/>
    </row>
    <row r="54" spans="1:10" ht="15.75" x14ac:dyDescent="0.25">
      <c r="A54" s="1"/>
      <c r="B54" s="1"/>
      <c r="C54" s="1"/>
      <c r="D54" s="1"/>
      <c r="E54" s="58"/>
      <c r="F54" s="59"/>
      <c r="G54" s="59"/>
      <c r="H54" s="59"/>
      <c r="I54" s="59"/>
      <c r="J54" s="59"/>
    </row>
    <row r="55" spans="1:10" ht="15.75" x14ac:dyDescent="0.25">
      <c r="A55" s="1"/>
      <c r="B55" s="1"/>
      <c r="C55" s="1"/>
      <c r="D55" s="1"/>
      <c r="E55" s="58"/>
      <c r="F55" s="59"/>
      <c r="G55" s="59"/>
      <c r="H55" s="59"/>
      <c r="I55" s="59"/>
      <c r="J55" s="59"/>
    </row>
    <row r="56" spans="1:10" ht="15.75" x14ac:dyDescent="0.25">
      <c r="A56" s="1"/>
      <c r="B56" s="1"/>
      <c r="C56" s="1"/>
      <c r="D56" s="1"/>
      <c r="E56" s="58"/>
      <c r="F56" s="59"/>
      <c r="G56" s="59"/>
      <c r="H56" s="59"/>
      <c r="I56" s="59"/>
      <c r="J56" s="59"/>
    </row>
    <row r="57" spans="1:10" ht="15.75" x14ac:dyDescent="0.25">
      <c r="A57" s="1"/>
      <c r="B57" s="1"/>
      <c r="C57" s="1"/>
      <c r="D57" s="1"/>
      <c r="E57" s="58"/>
      <c r="F57" s="59"/>
      <c r="G57" s="59"/>
      <c r="H57" s="59"/>
      <c r="I57" s="59"/>
      <c r="J57" s="59"/>
    </row>
    <row r="58" spans="1:10" ht="15.75" x14ac:dyDescent="0.25">
      <c r="A58" s="1"/>
      <c r="B58" s="1"/>
      <c r="C58" s="1"/>
      <c r="D58" s="1"/>
      <c r="E58" s="58"/>
      <c r="F58" s="59"/>
      <c r="G58" s="59"/>
      <c r="H58" s="59"/>
      <c r="I58" s="59"/>
      <c r="J58" s="59"/>
    </row>
    <row r="59" spans="1:10" ht="15.75" x14ac:dyDescent="0.25">
      <c r="A59" s="1"/>
      <c r="B59" s="1"/>
      <c r="C59" s="1"/>
      <c r="D59" s="1"/>
      <c r="E59" s="58"/>
      <c r="F59" s="59"/>
      <c r="G59" s="59"/>
      <c r="H59" s="59"/>
      <c r="I59" s="59"/>
      <c r="J59" s="59"/>
    </row>
    <row r="60" spans="1:10" ht="15.75" x14ac:dyDescent="0.25">
      <c r="A60" s="1"/>
      <c r="B60" s="1"/>
      <c r="C60" s="1"/>
      <c r="D60" s="1"/>
      <c r="E60" s="58"/>
      <c r="F60" s="59"/>
      <c r="G60" s="59"/>
      <c r="H60" s="59"/>
      <c r="I60" s="59"/>
      <c r="J60" s="59"/>
    </row>
    <row r="61" spans="1:10" ht="15.75" x14ac:dyDescent="0.25">
      <c r="A61" s="1"/>
      <c r="B61" s="1"/>
      <c r="C61" s="1"/>
      <c r="D61" s="1"/>
      <c r="E61" s="58"/>
      <c r="F61" s="59"/>
      <c r="G61" s="59"/>
      <c r="H61" s="59"/>
      <c r="I61" s="59"/>
      <c r="J61" s="59"/>
    </row>
    <row r="62" spans="1:10" ht="18.75" x14ac:dyDescent="0.3">
      <c r="C62" s="95" t="s">
        <v>16</v>
      </c>
      <c r="D62" s="95"/>
      <c r="E62" s="59"/>
      <c r="F62" s="59"/>
      <c r="G62" s="59"/>
      <c r="H62" s="59"/>
      <c r="I62" s="59"/>
      <c r="J62" s="59"/>
    </row>
    <row r="63" spans="1:10" ht="15.75" x14ac:dyDescent="0.25">
      <c r="E63" s="63"/>
      <c r="F63" s="63"/>
      <c r="G63" s="63"/>
      <c r="H63" s="63"/>
      <c r="I63" s="63"/>
      <c r="J63" s="63"/>
    </row>
    <row r="64" spans="1:10" ht="18.75" x14ac:dyDescent="0.3">
      <c r="C64" s="97" t="s">
        <v>17</v>
      </c>
      <c r="D64" s="97"/>
      <c r="E64" s="59"/>
      <c r="F64" s="59"/>
      <c r="G64" s="59"/>
      <c r="H64" s="59"/>
      <c r="I64" s="61"/>
      <c r="J64" s="59"/>
    </row>
    <row r="66" spans="6:9" x14ac:dyDescent="0.25">
      <c r="F66" s="98"/>
      <c r="G66" s="99"/>
      <c r="H66" s="99"/>
      <c r="I66" s="99"/>
    </row>
  </sheetData>
  <mergeCells count="10">
    <mergeCell ref="L5:N5"/>
    <mergeCell ref="L6:N6"/>
    <mergeCell ref="L7:N7"/>
    <mergeCell ref="L9:O9"/>
    <mergeCell ref="D2:F2"/>
    <mergeCell ref="C31:D31"/>
    <mergeCell ref="C47:D47"/>
    <mergeCell ref="C62:D62"/>
    <mergeCell ref="C64:D64"/>
    <mergeCell ref="F66:I66"/>
  </mergeCells>
  <pageMargins left="0.31496062992125984" right="0.31496062992125984" top="0.55118110236220474" bottom="0.55118110236220474" header="0.31496062992125984" footer="0.31496062992125984"/>
  <pageSetup paperSize="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94"/>
  <sheetViews>
    <sheetView topLeftCell="A58" zoomScale="110" zoomScaleNormal="110" workbookViewId="0">
      <selection activeCell="A75" sqref="A75"/>
    </sheetView>
  </sheetViews>
  <sheetFormatPr baseColWidth="10" defaultRowHeight="15" x14ac:dyDescent="0.25"/>
  <cols>
    <col min="1" max="1" width="6.28515625" customWidth="1"/>
    <col min="2" max="2" width="8.85546875" customWidth="1"/>
    <col min="3" max="3" width="22.85546875" customWidth="1"/>
    <col min="4" max="4" width="15.42578125" customWidth="1"/>
    <col min="6" max="6" width="20.5703125" customWidth="1"/>
    <col min="8" max="8" width="15.7109375" customWidth="1"/>
  </cols>
  <sheetData>
    <row r="1" spans="2:17" ht="3" customHeight="1" x14ac:dyDescent="0.25"/>
    <row r="2" spans="2:17" ht="18.75" x14ac:dyDescent="0.3">
      <c r="E2" s="138" t="s">
        <v>18</v>
      </c>
      <c r="F2" s="138"/>
    </row>
    <row r="3" spans="2:17" x14ac:dyDescent="0.25">
      <c r="B3" t="s">
        <v>26</v>
      </c>
      <c r="E3" s="2"/>
      <c r="F3" s="2"/>
    </row>
    <row r="4" spans="2:17" x14ac:dyDescent="0.25">
      <c r="B4" s="51" t="s">
        <v>12</v>
      </c>
      <c r="C4" s="51" t="s">
        <v>19</v>
      </c>
      <c r="D4" s="51" t="s">
        <v>21</v>
      </c>
      <c r="E4" s="51" t="s">
        <v>23</v>
      </c>
      <c r="F4" s="51" t="s">
        <v>25</v>
      </c>
      <c r="G4" s="51" t="s">
        <v>5</v>
      </c>
      <c r="H4" s="51" t="s">
        <v>9</v>
      </c>
      <c r="I4" s="51" t="s">
        <v>10</v>
      </c>
      <c r="J4" s="51" t="s">
        <v>11</v>
      </c>
      <c r="K4" s="3"/>
      <c r="M4" t="s">
        <v>141</v>
      </c>
    </row>
    <row r="5" spans="2:17" x14ac:dyDescent="0.25">
      <c r="B5" s="54"/>
      <c r="C5" s="54" t="s">
        <v>20</v>
      </c>
      <c r="D5" s="54" t="s">
        <v>22</v>
      </c>
      <c r="E5" s="54" t="s">
        <v>24</v>
      </c>
      <c r="F5" s="54"/>
      <c r="G5" s="54"/>
      <c r="H5" s="54"/>
      <c r="I5" s="64">
        <v>0.19</v>
      </c>
      <c r="J5" s="54"/>
      <c r="K5" s="3"/>
      <c r="M5" t="s">
        <v>142</v>
      </c>
    </row>
    <row r="6" spans="2:17" ht="15.75" x14ac:dyDescent="0.25">
      <c r="B6" s="65"/>
      <c r="C6" s="58"/>
      <c r="D6" s="59"/>
      <c r="E6" s="59"/>
      <c r="F6" s="1"/>
      <c r="G6" s="1"/>
      <c r="H6" s="59"/>
      <c r="I6" s="59"/>
      <c r="J6" s="59"/>
      <c r="K6" s="3"/>
    </row>
    <row r="7" spans="2:17" ht="15.75" x14ac:dyDescent="0.25">
      <c r="B7" s="65"/>
      <c r="C7" s="58"/>
      <c r="D7" s="59"/>
      <c r="E7" s="59"/>
      <c r="F7" s="1"/>
      <c r="G7" s="1"/>
      <c r="H7" s="59"/>
      <c r="I7" s="59"/>
      <c r="J7" s="59"/>
      <c r="K7" s="3"/>
    </row>
    <row r="8" spans="2:17" ht="15.75" x14ac:dyDescent="0.25">
      <c r="B8" s="65"/>
      <c r="C8" s="58"/>
      <c r="D8" s="59"/>
      <c r="E8" s="59"/>
      <c r="F8" s="1"/>
      <c r="G8" s="1"/>
      <c r="H8" s="59"/>
      <c r="I8" s="59"/>
      <c r="J8" s="59"/>
      <c r="K8" s="3"/>
      <c r="M8" t="s">
        <v>143</v>
      </c>
    </row>
    <row r="9" spans="2:17" ht="15.75" x14ac:dyDescent="0.25">
      <c r="B9" s="65"/>
      <c r="C9" s="58"/>
      <c r="D9" s="59"/>
      <c r="E9" s="59"/>
      <c r="F9" s="1"/>
      <c r="G9" s="1"/>
      <c r="H9" s="59"/>
      <c r="I9" s="59"/>
      <c r="J9" s="59"/>
      <c r="K9" s="3"/>
      <c r="M9" t="s">
        <v>146</v>
      </c>
    </row>
    <row r="10" spans="2:17" ht="15.75" x14ac:dyDescent="0.25">
      <c r="B10" s="58"/>
      <c r="C10" s="58"/>
      <c r="D10" s="59"/>
      <c r="E10" s="59"/>
      <c r="F10" s="1"/>
      <c r="G10" s="1"/>
      <c r="H10" s="59"/>
      <c r="I10" s="59"/>
      <c r="J10" s="59"/>
      <c r="K10" s="3"/>
    </row>
    <row r="11" spans="2:17" ht="15.75" x14ac:dyDescent="0.25">
      <c r="B11" s="58"/>
      <c r="C11" s="58"/>
      <c r="D11" s="59"/>
      <c r="E11" s="59"/>
      <c r="F11" s="1"/>
      <c r="G11" s="1"/>
      <c r="H11" s="59"/>
      <c r="I11" s="59"/>
      <c r="J11" s="59"/>
      <c r="K11" s="3"/>
    </row>
    <row r="12" spans="2:17" ht="15.75" x14ac:dyDescent="0.25">
      <c r="B12" s="58"/>
      <c r="C12" s="58"/>
      <c r="D12" s="59"/>
      <c r="E12" s="59"/>
      <c r="F12" s="1"/>
      <c r="G12" s="1"/>
      <c r="H12" s="59"/>
      <c r="I12" s="59"/>
      <c r="J12" s="59"/>
      <c r="K12" s="3"/>
      <c r="M12" s="81" t="s">
        <v>163</v>
      </c>
      <c r="N12" s="7"/>
      <c r="O12" s="82"/>
      <c r="P12" s="31"/>
      <c r="Q12" s="1"/>
    </row>
    <row r="13" spans="2:17" ht="15.75" x14ac:dyDescent="0.25">
      <c r="B13" s="58"/>
      <c r="C13" s="58"/>
      <c r="D13" s="59"/>
      <c r="E13" s="59"/>
      <c r="F13" s="1"/>
      <c r="G13" s="1"/>
      <c r="H13" s="59"/>
      <c r="I13" s="59"/>
      <c r="J13" s="59"/>
      <c r="K13" s="3"/>
      <c r="M13" s="3"/>
      <c r="N13" s="42" t="s">
        <v>23</v>
      </c>
      <c r="O13" s="83"/>
      <c r="P13" s="1"/>
      <c r="Q13" s="31"/>
    </row>
    <row r="14" spans="2:17" ht="15.75" x14ac:dyDescent="0.25">
      <c r="B14" s="58"/>
      <c r="C14" s="58"/>
      <c r="D14" s="59"/>
      <c r="E14" s="59"/>
      <c r="F14" s="1"/>
      <c r="G14" s="1"/>
      <c r="H14" s="59"/>
      <c r="I14" s="59"/>
      <c r="J14" s="59"/>
      <c r="K14" s="3"/>
      <c r="M14" s="3"/>
      <c r="N14" s="42" t="s">
        <v>194</v>
      </c>
      <c r="O14" s="83"/>
      <c r="P14" s="1"/>
      <c r="Q14" s="31"/>
    </row>
    <row r="15" spans="2:17" ht="15.75" x14ac:dyDescent="0.25">
      <c r="B15" s="58"/>
      <c r="C15" s="58"/>
      <c r="D15" s="59"/>
      <c r="E15" s="59"/>
      <c r="F15" s="1"/>
      <c r="G15" s="1"/>
      <c r="H15" s="59"/>
      <c r="I15" s="59"/>
      <c r="J15" s="59"/>
      <c r="K15" s="3"/>
      <c r="M15" s="3"/>
      <c r="N15" s="42" t="s">
        <v>195</v>
      </c>
      <c r="O15" s="83"/>
      <c r="P15" s="1"/>
      <c r="Q15" s="1"/>
    </row>
    <row r="16" spans="2:17" ht="15.75" x14ac:dyDescent="0.25">
      <c r="B16" s="58"/>
      <c r="C16" s="58"/>
      <c r="D16" s="59"/>
      <c r="E16" s="59"/>
      <c r="F16" s="1"/>
      <c r="G16" s="1"/>
      <c r="H16" s="59"/>
      <c r="I16" s="59"/>
      <c r="J16" s="59"/>
      <c r="K16" s="3"/>
      <c r="M16" s="84"/>
      <c r="N16" s="85" t="s">
        <v>196</v>
      </c>
      <c r="O16" s="86"/>
      <c r="P16" s="1"/>
      <c r="Q16" s="31"/>
    </row>
    <row r="17" spans="2:19" ht="15.75" x14ac:dyDescent="0.25">
      <c r="B17" s="58"/>
      <c r="C17" s="58"/>
      <c r="D17" s="59"/>
      <c r="E17" s="59"/>
      <c r="F17" s="1"/>
      <c r="G17" s="1"/>
      <c r="H17" s="59"/>
      <c r="I17" s="59"/>
      <c r="J17" s="59"/>
      <c r="K17" s="3"/>
    </row>
    <row r="18" spans="2:19" ht="15.75" x14ac:dyDescent="0.25">
      <c r="B18" s="58"/>
      <c r="C18" s="58"/>
      <c r="D18" s="59"/>
      <c r="E18" s="59"/>
      <c r="F18" s="1"/>
      <c r="G18" s="1"/>
      <c r="H18" s="59"/>
      <c r="I18" s="59"/>
      <c r="J18" s="59"/>
      <c r="K18" s="3"/>
    </row>
    <row r="19" spans="2:19" ht="15.75" x14ac:dyDescent="0.25">
      <c r="B19" s="58"/>
      <c r="C19" s="58"/>
      <c r="D19" s="59"/>
      <c r="E19" s="59"/>
      <c r="F19" s="1"/>
      <c r="G19" s="1"/>
      <c r="H19" s="59"/>
      <c r="I19" s="59"/>
      <c r="J19" s="59"/>
      <c r="K19" s="3"/>
      <c r="M19" s="81" t="s">
        <v>197</v>
      </c>
      <c r="N19" s="7"/>
      <c r="O19" s="82"/>
      <c r="P19" s="31"/>
      <c r="Q19" s="1"/>
      <c r="S19" s="80"/>
    </row>
    <row r="20" spans="2:19" ht="15.75" x14ac:dyDescent="0.25">
      <c r="B20" s="58"/>
      <c r="C20" s="58"/>
      <c r="D20" s="59"/>
      <c r="E20" s="59"/>
      <c r="F20" s="1"/>
      <c r="G20" s="1"/>
      <c r="H20" s="59"/>
      <c r="I20" s="59"/>
      <c r="J20" s="59"/>
      <c r="K20" s="3"/>
      <c r="M20" s="3"/>
      <c r="N20" s="42" t="s">
        <v>159</v>
      </c>
      <c r="O20" s="83"/>
      <c r="P20" s="1"/>
      <c r="Q20" s="31"/>
    </row>
    <row r="21" spans="2:19" ht="15.75" x14ac:dyDescent="0.25">
      <c r="B21" s="58"/>
      <c r="C21" s="58"/>
      <c r="D21" s="59"/>
      <c r="E21" s="59"/>
      <c r="F21" s="1"/>
      <c r="G21" s="1"/>
      <c r="H21" s="59"/>
      <c r="I21" s="59"/>
      <c r="J21" s="59"/>
      <c r="K21" s="3"/>
      <c r="M21" s="84"/>
      <c r="N21" s="85" t="s">
        <v>168</v>
      </c>
      <c r="O21" s="86"/>
      <c r="P21" s="1"/>
      <c r="Q21" s="31"/>
    </row>
    <row r="22" spans="2:19" ht="15.75" x14ac:dyDescent="0.25">
      <c r="B22" s="58"/>
      <c r="C22" s="58"/>
      <c r="D22" s="59"/>
      <c r="E22" s="59"/>
      <c r="F22" s="1"/>
      <c r="G22" s="1"/>
      <c r="H22" s="59"/>
      <c r="I22" s="59"/>
      <c r="J22" s="59"/>
      <c r="K22" s="3"/>
    </row>
    <row r="23" spans="2:19" ht="15.75" x14ac:dyDescent="0.25">
      <c r="B23" s="58"/>
      <c r="C23" s="58"/>
      <c r="D23" s="59"/>
      <c r="E23" s="59"/>
      <c r="F23" s="1"/>
      <c r="G23" s="1"/>
      <c r="H23" s="59"/>
      <c r="I23" s="59"/>
      <c r="J23" s="59"/>
      <c r="K23" s="3"/>
    </row>
    <row r="24" spans="2:19" ht="15.75" x14ac:dyDescent="0.25">
      <c r="B24" s="58"/>
      <c r="C24" s="58"/>
      <c r="D24" s="59"/>
      <c r="E24" s="59"/>
      <c r="F24" s="1"/>
      <c r="G24" s="1"/>
      <c r="H24" s="59"/>
      <c r="I24" s="59"/>
      <c r="J24" s="59"/>
      <c r="K24" s="3"/>
    </row>
    <row r="25" spans="2:19" ht="15.75" x14ac:dyDescent="0.25">
      <c r="B25" s="58"/>
      <c r="C25" s="58"/>
      <c r="D25" s="59"/>
      <c r="E25" s="59"/>
      <c r="F25" s="1"/>
      <c r="G25" s="1"/>
      <c r="H25" s="59"/>
      <c r="I25" s="59"/>
      <c r="J25" s="59"/>
      <c r="K25" s="3"/>
    </row>
    <row r="26" spans="2:19" ht="15.75" x14ac:dyDescent="0.25">
      <c r="B26" s="58"/>
      <c r="C26" s="58"/>
      <c r="D26" s="59"/>
      <c r="E26" s="59"/>
      <c r="F26" s="1"/>
      <c r="G26" s="1"/>
      <c r="H26" s="59"/>
      <c r="I26" s="59"/>
      <c r="J26" s="59"/>
      <c r="K26" s="3"/>
    </row>
    <row r="27" spans="2:19" ht="15.75" x14ac:dyDescent="0.25">
      <c r="B27" s="58"/>
      <c r="C27" s="58"/>
      <c r="D27" s="59"/>
      <c r="E27" s="59"/>
      <c r="F27" s="1"/>
      <c r="G27" s="1"/>
      <c r="H27" s="59"/>
      <c r="I27" s="59"/>
      <c r="J27" s="59"/>
      <c r="K27" s="3"/>
    </row>
    <row r="28" spans="2:19" ht="15.75" x14ac:dyDescent="0.25">
      <c r="B28" s="58"/>
      <c r="C28" s="58"/>
      <c r="D28" s="59"/>
      <c r="E28" s="59"/>
      <c r="F28" s="1"/>
      <c r="G28" s="1"/>
      <c r="H28" s="59"/>
      <c r="I28" s="59"/>
      <c r="J28" s="59"/>
      <c r="K28" s="3"/>
    </row>
    <row r="29" spans="2:19" ht="15.75" x14ac:dyDescent="0.25">
      <c r="B29" s="58"/>
      <c r="C29" s="58"/>
      <c r="D29" s="59"/>
      <c r="E29" s="59"/>
      <c r="F29" s="1"/>
      <c r="G29" s="1"/>
      <c r="H29" s="59"/>
      <c r="I29" s="59"/>
      <c r="J29" s="59"/>
      <c r="K29" s="3"/>
    </row>
    <row r="30" spans="2:19" ht="15.75" x14ac:dyDescent="0.25">
      <c r="B30" s="58"/>
      <c r="C30" s="58"/>
      <c r="D30" s="59"/>
      <c r="E30" s="59"/>
      <c r="F30" s="1"/>
      <c r="G30" s="1"/>
      <c r="H30" s="59"/>
      <c r="I30" s="59"/>
      <c r="J30" s="59"/>
      <c r="K30" s="3"/>
    </row>
    <row r="31" spans="2:19" ht="15.75" x14ac:dyDescent="0.25">
      <c r="B31" s="58"/>
      <c r="C31" s="58"/>
      <c r="D31" s="59"/>
      <c r="E31" s="59"/>
      <c r="F31" s="1"/>
      <c r="G31" s="1"/>
      <c r="H31" s="59"/>
      <c r="I31" s="59"/>
      <c r="J31" s="59"/>
      <c r="K31" s="3"/>
    </row>
    <row r="32" spans="2:19" ht="15.75" x14ac:dyDescent="0.25">
      <c r="B32" s="58"/>
      <c r="C32" s="58"/>
      <c r="D32" s="59"/>
      <c r="E32" s="59"/>
      <c r="F32" s="1"/>
      <c r="G32" s="1"/>
      <c r="H32" s="59"/>
      <c r="I32" s="59"/>
      <c r="J32" s="59"/>
      <c r="K32" s="3"/>
    </row>
    <row r="33" spans="2:11" ht="15.75" x14ac:dyDescent="0.25">
      <c r="B33" s="58"/>
      <c r="C33" s="58"/>
      <c r="D33" s="59"/>
      <c r="E33" s="59"/>
      <c r="F33" s="1"/>
      <c r="G33" s="1"/>
      <c r="H33" s="59"/>
      <c r="I33" s="59"/>
      <c r="J33" s="59"/>
      <c r="K33" s="3"/>
    </row>
    <row r="34" spans="2:11" ht="18.75" x14ac:dyDescent="0.3">
      <c r="B34" s="63"/>
      <c r="C34" s="63"/>
      <c r="D34" s="66"/>
      <c r="E34" s="66"/>
      <c r="F34" s="139" t="s">
        <v>13</v>
      </c>
      <c r="G34" s="139"/>
      <c r="H34" s="66"/>
      <c r="I34" s="66"/>
      <c r="J34" s="66"/>
    </row>
    <row r="35" spans="2:11" x14ac:dyDescent="0.25">
      <c r="F35" s="4"/>
      <c r="G35" s="4"/>
    </row>
    <row r="36" spans="2:11" ht="18.75" x14ac:dyDescent="0.3">
      <c r="B36" s="50" t="s">
        <v>14</v>
      </c>
    </row>
    <row r="37" spans="2:11" x14ac:dyDescent="0.25">
      <c r="B37" s="1"/>
      <c r="C37" s="1"/>
      <c r="D37" s="1"/>
      <c r="E37" s="1"/>
      <c r="F37" s="1"/>
      <c r="G37" s="1"/>
      <c r="H37" s="31"/>
      <c r="I37" s="31"/>
      <c r="J37" s="31"/>
    </row>
    <row r="38" spans="2:11" x14ac:dyDescent="0.25">
      <c r="B38" s="1"/>
      <c r="C38" s="1"/>
      <c r="D38" s="1"/>
      <c r="E38" s="1"/>
      <c r="F38" s="1"/>
      <c r="G38" s="1"/>
      <c r="H38" s="31"/>
      <c r="I38" s="31"/>
      <c r="J38" s="31"/>
    </row>
    <row r="39" spans="2:11" x14ac:dyDescent="0.25">
      <c r="B39" s="1"/>
      <c r="C39" s="1"/>
      <c r="D39" s="1"/>
      <c r="E39" s="1"/>
      <c r="F39" s="1"/>
      <c r="G39" s="1"/>
      <c r="H39" s="31"/>
      <c r="I39" s="31"/>
      <c r="J39" s="31"/>
    </row>
    <row r="40" spans="2:11" x14ac:dyDescent="0.25">
      <c r="B40" s="1"/>
      <c r="C40" s="1"/>
      <c r="D40" s="1"/>
      <c r="E40" s="1"/>
      <c r="F40" s="1"/>
      <c r="G40" s="1"/>
      <c r="H40" s="31"/>
      <c r="I40" s="31"/>
      <c r="J40" s="31"/>
    </row>
    <row r="41" spans="2:11" x14ac:dyDescent="0.25">
      <c r="B41" s="1"/>
      <c r="C41" s="1"/>
      <c r="D41" s="1"/>
      <c r="E41" s="1"/>
      <c r="F41" s="1"/>
      <c r="G41" s="1"/>
      <c r="H41" s="31"/>
      <c r="I41" s="31"/>
      <c r="J41" s="31"/>
    </row>
    <row r="42" spans="2:11" x14ac:dyDescent="0.25">
      <c r="B42" s="1"/>
      <c r="C42" s="1"/>
      <c r="D42" s="1"/>
      <c r="E42" s="1"/>
      <c r="F42" s="1"/>
      <c r="G42" s="1"/>
      <c r="H42" s="31"/>
      <c r="I42" s="31"/>
      <c r="J42" s="31"/>
    </row>
    <row r="43" spans="2:11" x14ac:dyDescent="0.25">
      <c r="B43" s="1"/>
      <c r="C43" s="1"/>
      <c r="D43" s="1"/>
      <c r="E43" s="1"/>
      <c r="F43" s="1"/>
      <c r="G43" s="1"/>
      <c r="H43" s="31"/>
      <c r="I43" s="31"/>
      <c r="J43" s="31"/>
    </row>
    <row r="44" spans="2:11" x14ac:dyDescent="0.25">
      <c r="B44" s="1"/>
      <c r="C44" s="1"/>
      <c r="D44" s="1"/>
      <c r="E44" s="1"/>
      <c r="F44" s="1"/>
      <c r="G44" s="1"/>
      <c r="H44" s="31"/>
      <c r="I44" s="31"/>
      <c r="J44" s="31"/>
    </row>
    <row r="45" spans="2:11" x14ac:dyDescent="0.25">
      <c r="B45" s="1"/>
      <c r="C45" s="1"/>
      <c r="D45" s="1"/>
      <c r="E45" s="1"/>
      <c r="F45" s="1"/>
      <c r="G45" s="1"/>
      <c r="H45" s="31"/>
      <c r="I45" s="31"/>
      <c r="J45" s="31"/>
    </row>
    <row r="46" spans="2:11" x14ac:dyDescent="0.25">
      <c r="B46" s="1"/>
      <c r="C46" s="1"/>
      <c r="D46" s="1"/>
      <c r="E46" s="1"/>
      <c r="F46" s="1"/>
      <c r="G46" s="1"/>
      <c r="H46" s="31"/>
      <c r="I46" s="31"/>
      <c r="J46" s="31"/>
    </row>
    <row r="47" spans="2:11" x14ac:dyDescent="0.25">
      <c r="B47" s="1"/>
      <c r="C47" s="1"/>
      <c r="D47" s="1"/>
      <c r="E47" s="1"/>
      <c r="F47" s="1"/>
      <c r="G47" s="1"/>
      <c r="H47" s="31"/>
      <c r="I47" s="31"/>
      <c r="J47" s="31"/>
    </row>
    <row r="48" spans="2:11" x14ac:dyDescent="0.25">
      <c r="B48" s="1"/>
      <c r="C48" s="1"/>
      <c r="D48" s="1"/>
      <c r="E48" s="1"/>
      <c r="F48" s="1"/>
      <c r="G48" s="1"/>
      <c r="H48" s="31"/>
      <c r="I48" s="31"/>
      <c r="J48" s="31"/>
    </row>
    <row r="49" spans="2:10" ht="15.75" x14ac:dyDescent="0.25">
      <c r="F49" s="140" t="s">
        <v>13</v>
      </c>
      <c r="G49" s="141"/>
      <c r="H49" s="39"/>
      <c r="I49" s="39"/>
      <c r="J49" s="39"/>
    </row>
    <row r="51" spans="2:10" ht="18.75" x14ac:dyDescent="0.3">
      <c r="B51" s="50" t="s">
        <v>15</v>
      </c>
    </row>
    <row r="52" spans="2:10" x14ac:dyDescent="0.25">
      <c r="B52" s="33"/>
      <c r="C52" s="1"/>
      <c r="D52" s="1"/>
      <c r="E52" s="1"/>
      <c r="F52" s="1"/>
      <c r="G52" s="1"/>
      <c r="H52" s="31"/>
      <c r="I52" s="31"/>
      <c r="J52" s="31"/>
    </row>
    <row r="53" spans="2:10" x14ac:dyDescent="0.25">
      <c r="B53" s="1"/>
      <c r="C53" s="1"/>
      <c r="D53" s="1"/>
      <c r="E53" s="1"/>
      <c r="F53" s="1"/>
      <c r="G53" s="1"/>
      <c r="H53" s="31"/>
      <c r="I53" s="31"/>
      <c r="J53" s="31"/>
    </row>
    <row r="54" spans="2:10" x14ac:dyDescent="0.25">
      <c r="B54" s="1"/>
      <c r="C54" s="1"/>
      <c r="D54" s="1"/>
      <c r="E54" s="1"/>
      <c r="F54" s="1"/>
      <c r="G54" s="1"/>
      <c r="H54" s="31"/>
      <c r="I54" s="31"/>
      <c r="J54" s="31"/>
    </row>
    <row r="55" spans="2:10" x14ac:dyDescent="0.25">
      <c r="B55" s="1"/>
      <c r="C55" s="1"/>
      <c r="D55" s="1"/>
      <c r="E55" s="1"/>
      <c r="F55" s="1"/>
      <c r="G55" s="1"/>
      <c r="H55" s="31"/>
      <c r="I55" s="31"/>
      <c r="J55" s="31"/>
    </row>
    <row r="56" spans="2:10" x14ac:dyDescent="0.25">
      <c r="B56" s="1"/>
      <c r="C56" s="1"/>
      <c r="D56" s="1"/>
      <c r="E56" s="1"/>
      <c r="F56" s="1"/>
      <c r="G56" s="1"/>
      <c r="H56" s="31"/>
      <c r="I56" s="31"/>
      <c r="J56" s="31"/>
    </row>
    <row r="57" spans="2:10" x14ac:dyDescent="0.25">
      <c r="B57" s="1"/>
      <c r="C57" s="1"/>
      <c r="D57" s="1"/>
      <c r="E57" s="1"/>
      <c r="F57" s="1"/>
      <c r="G57" s="1"/>
      <c r="H57" s="31"/>
      <c r="I57" s="31"/>
      <c r="J57" s="31"/>
    </row>
    <row r="58" spans="2:10" x14ac:dyDescent="0.25">
      <c r="B58" s="1"/>
      <c r="C58" s="1"/>
      <c r="D58" s="1"/>
      <c r="E58" s="1"/>
      <c r="F58" s="1"/>
      <c r="G58" s="1"/>
      <c r="H58" s="31"/>
      <c r="I58" s="31"/>
      <c r="J58" s="31"/>
    </row>
    <row r="59" spans="2:10" x14ac:dyDescent="0.25">
      <c r="B59" s="1"/>
      <c r="C59" s="1"/>
      <c r="D59" s="1"/>
      <c r="E59" s="1"/>
      <c r="F59" s="1"/>
      <c r="G59" s="1"/>
      <c r="H59" s="31"/>
      <c r="I59" s="31"/>
      <c r="J59" s="31"/>
    </row>
    <row r="60" spans="2:10" x14ac:dyDescent="0.25">
      <c r="B60" s="1"/>
      <c r="C60" s="1"/>
      <c r="D60" s="1"/>
      <c r="E60" s="1"/>
      <c r="F60" s="1"/>
      <c r="G60" s="1"/>
      <c r="H60" s="31"/>
      <c r="I60" s="31"/>
      <c r="J60" s="31"/>
    </row>
    <row r="61" spans="2:10" x14ac:dyDescent="0.25">
      <c r="B61" s="1"/>
      <c r="C61" s="1"/>
      <c r="D61" s="1"/>
      <c r="E61" s="1"/>
      <c r="F61" s="1"/>
      <c r="G61" s="1"/>
      <c r="H61" s="31"/>
      <c r="I61" s="31"/>
      <c r="J61" s="31"/>
    </row>
    <row r="62" spans="2:10" x14ac:dyDescent="0.25">
      <c r="B62" s="1"/>
      <c r="C62" s="1"/>
      <c r="D62" s="1"/>
      <c r="E62" s="1"/>
      <c r="F62" s="1"/>
      <c r="G62" s="1"/>
      <c r="H62" s="31"/>
      <c r="I62" s="31"/>
      <c r="J62" s="31"/>
    </row>
    <row r="63" spans="2:10" x14ac:dyDescent="0.25">
      <c r="B63" s="1"/>
      <c r="C63" s="1"/>
      <c r="D63" s="1"/>
      <c r="E63" s="1"/>
      <c r="F63" s="1"/>
      <c r="G63" s="1"/>
      <c r="H63" s="31"/>
      <c r="I63" s="31"/>
      <c r="J63" s="31"/>
    </row>
    <row r="64" spans="2:10" ht="15.75" x14ac:dyDescent="0.25">
      <c r="F64" s="140" t="s">
        <v>13</v>
      </c>
      <c r="G64" s="141"/>
      <c r="H64" s="39"/>
      <c r="I64" s="39"/>
      <c r="J64" s="39"/>
    </row>
    <row r="71" spans="2:10" ht="18.75" x14ac:dyDescent="0.25">
      <c r="B71" s="142" t="s">
        <v>140</v>
      </c>
      <c r="C71" s="142"/>
      <c r="D71" s="142"/>
      <c r="E71" s="142"/>
    </row>
    <row r="72" spans="2:10" ht="17.25" x14ac:dyDescent="0.3">
      <c r="B72" s="108" t="s">
        <v>27</v>
      </c>
      <c r="C72" s="111"/>
      <c r="D72" s="108" t="s">
        <v>75</v>
      </c>
      <c r="E72" s="109"/>
      <c r="G72" s="106" t="s">
        <v>77</v>
      </c>
      <c r="H72" s="112"/>
      <c r="I72" s="107"/>
      <c r="J72" s="70"/>
    </row>
    <row r="73" spans="2:10" ht="17.25" x14ac:dyDescent="0.3">
      <c r="B73" s="118"/>
      <c r="C73" s="119"/>
      <c r="D73" s="118"/>
      <c r="E73" s="119"/>
      <c r="G73" s="106" t="s">
        <v>78</v>
      </c>
      <c r="H73" s="112"/>
      <c r="I73" s="107"/>
      <c r="J73" s="75"/>
    </row>
    <row r="74" spans="2:10" ht="17.25" x14ac:dyDescent="0.3">
      <c r="B74" s="108" t="s">
        <v>28</v>
      </c>
      <c r="C74" s="109"/>
      <c r="D74" s="108" t="s">
        <v>76</v>
      </c>
      <c r="E74" s="109"/>
      <c r="G74" s="113" t="s">
        <v>79</v>
      </c>
      <c r="H74" s="114"/>
      <c r="I74" s="115"/>
      <c r="J74" s="72"/>
    </row>
    <row r="75" spans="2:10" ht="17.25" x14ac:dyDescent="0.3">
      <c r="B75" s="118"/>
      <c r="C75" s="119"/>
      <c r="D75" s="116"/>
      <c r="E75" s="117"/>
      <c r="G75" s="106" t="s">
        <v>80</v>
      </c>
      <c r="H75" s="112"/>
      <c r="I75" s="107"/>
      <c r="J75" s="70"/>
    </row>
    <row r="76" spans="2:10" ht="17.25" x14ac:dyDescent="0.3">
      <c r="B76" s="132" t="s">
        <v>71</v>
      </c>
      <c r="C76" s="133"/>
      <c r="D76" s="136"/>
      <c r="E76" s="137"/>
      <c r="G76" s="113" t="s">
        <v>81</v>
      </c>
      <c r="H76" s="114"/>
      <c r="I76" s="115"/>
      <c r="J76" s="72"/>
    </row>
    <row r="77" spans="2:10" ht="17.25" x14ac:dyDescent="0.3">
      <c r="B77" s="128" t="s">
        <v>72</v>
      </c>
      <c r="C77" s="129"/>
      <c r="D77" s="116"/>
      <c r="E77" s="117"/>
      <c r="G77" s="106" t="s">
        <v>82</v>
      </c>
      <c r="H77" s="112"/>
      <c r="I77" s="107"/>
      <c r="J77" s="75"/>
    </row>
    <row r="78" spans="2:10" ht="17.25" x14ac:dyDescent="0.3">
      <c r="B78" s="128" t="s">
        <v>171</v>
      </c>
      <c r="C78" s="129"/>
      <c r="D78" s="116"/>
      <c r="E78" s="120"/>
      <c r="G78" s="106" t="s">
        <v>83</v>
      </c>
      <c r="H78" s="112"/>
      <c r="I78" s="107"/>
      <c r="J78" s="70"/>
    </row>
    <row r="79" spans="2:10" ht="17.25" x14ac:dyDescent="0.3">
      <c r="B79" s="128" t="s">
        <v>192</v>
      </c>
      <c r="C79" s="129"/>
      <c r="D79" s="118"/>
      <c r="E79" s="119"/>
      <c r="G79" s="7"/>
      <c r="H79" s="7"/>
      <c r="I79" s="7"/>
    </row>
    <row r="80" spans="2:10" ht="17.25" x14ac:dyDescent="0.3">
      <c r="B80" s="73" t="s">
        <v>193</v>
      </c>
      <c r="C80" s="67"/>
      <c r="D80" s="68"/>
      <c r="E80" s="69"/>
    </row>
    <row r="81" spans="1:6" ht="17.25" x14ac:dyDescent="0.3">
      <c r="A81" s="76">
        <v>0.01</v>
      </c>
      <c r="B81" s="30" t="s">
        <v>139</v>
      </c>
      <c r="C81" s="32">
        <f>+J77+J73</f>
        <v>0</v>
      </c>
      <c r="D81" s="116"/>
      <c r="E81" s="117"/>
    </row>
    <row r="82" spans="1:6" ht="17.25" x14ac:dyDescent="0.3">
      <c r="B82" s="130" t="s">
        <v>175</v>
      </c>
      <c r="C82" s="131"/>
      <c r="D82" s="123"/>
      <c r="E82" s="124"/>
    </row>
    <row r="83" spans="1:6" ht="17.25" x14ac:dyDescent="0.3">
      <c r="B83" s="132" t="s">
        <v>174</v>
      </c>
      <c r="C83" s="133"/>
      <c r="D83" s="125"/>
      <c r="E83" s="120"/>
    </row>
    <row r="84" spans="1:6" ht="18.75" x14ac:dyDescent="0.3">
      <c r="B84" s="134" t="s">
        <v>73</v>
      </c>
      <c r="C84" s="135"/>
      <c r="D84" s="126"/>
      <c r="E84" s="127"/>
      <c r="F84" s="47"/>
    </row>
    <row r="85" spans="1:6" ht="17.25" x14ac:dyDescent="0.3">
      <c r="B85" s="121" t="s">
        <v>74</v>
      </c>
      <c r="C85" s="122"/>
      <c r="D85" s="116"/>
      <c r="E85" s="117"/>
    </row>
    <row r="86" spans="1:6" ht="17.25" x14ac:dyDescent="0.3">
      <c r="B86" s="110" t="s">
        <v>176</v>
      </c>
      <c r="C86" s="111"/>
      <c r="D86" s="74"/>
      <c r="E86" s="71"/>
    </row>
    <row r="87" spans="1:6" ht="17.25" x14ac:dyDescent="0.3">
      <c r="B87" s="110" t="s">
        <v>172</v>
      </c>
      <c r="C87" s="111"/>
      <c r="D87" s="74"/>
      <c r="E87" s="77"/>
    </row>
    <row r="91" spans="1:6" ht="17.25" x14ac:dyDescent="0.3">
      <c r="B91" s="106" t="s">
        <v>173</v>
      </c>
      <c r="C91" s="107"/>
      <c r="D91" s="5"/>
      <c r="E91" s="71">
        <v>60800</v>
      </c>
    </row>
    <row r="92" spans="1:6" ht="17.25" x14ac:dyDescent="0.3">
      <c r="B92" s="106" t="s">
        <v>189</v>
      </c>
      <c r="C92" s="107"/>
      <c r="D92" s="5"/>
      <c r="E92" s="71" t="b">
        <f>IF('L. COMPRAS'!H3=1,UTM!C4,IF('L. COMPRAS'!H3=2,UTM!C5,IF('L. COMPRAS'!H3=3,UTM!C6,IF('L. COMPRAS'!H3=4,UTM!C7,IF('L. COMPRAS'!H3=5,UTM!C8,IF('L. COMPRAS'!H3=6,UTM!C9,IF('L. COMPRAS'!H3=7,UTM!C10,IF('L. COMPRAS'!H3=8,UTM!C11,IF('L. COMPRAS'!H3=9,UTM!C12,IF('L. COMPRAS'!H3=10,UTM!C13,IF('L. COMPRAS'!H3=11,UTM!C14,IF('L. COMPRAS'!H3=12,UTM!C15))))))))))))</f>
        <v>0</v>
      </c>
    </row>
    <row r="93" spans="1:6" ht="17.25" x14ac:dyDescent="0.3">
      <c r="B93" s="106" t="s">
        <v>190</v>
      </c>
      <c r="C93" s="107"/>
      <c r="D93" s="5"/>
      <c r="E93" s="79" t="e">
        <f>ROUND(E91/E92,2)</f>
        <v>#DIV/0!</v>
      </c>
    </row>
    <row r="94" spans="1:6" ht="17.25" x14ac:dyDescent="0.3">
      <c r="B94" s="106" t="s">
        <v>191</v>
      </c>
      <c r="C94" s="107"/>
      <c r="D94" s="5"/>
      <c r="E94" s="71" t="e">
        <f>ROUND(E92*E93,0)</f>
        <v>#DIV/0!</v>
      </c>
    </row>
  </sheetData>
  <mergeCells count="43">
    <mergeCell ref="E2:F2"/>
    <mergeCell ref="F34:G34"/>
    <mergeCell ref="F49:G49"/>
    <mergeCell ref="F64:G64"/>
    <mergeCell ref="B72:C72"/>
    <mergeCell ref="D72:E72"/>
    <mergeCell ref="B71:E71"/>
    <mergeCell ref="G72:I72"/>
    <mergeCell ref="D73:E73"/>
    <mergeCell ref="D75:E75"/>
    <mergeCell ref="D76:E76"/>
    <mergeCell ref="D77:E77"/>
    <mergeCell ref="B73:C73"/>
    <mergeCell ref="B74:C74"/>
    <mergeCell ref="B75:C75"/>
    <mergeCell ref="B76:C76"/>
    <mergeCell ref="B77:C77"/>
    <mergeCell ref="G73:I73"/>
    <mergeCell ref="G74:I74"/>
    <mergeCell ref="G75:I75"/>
    <mergeCell ref="G76:I76"/>
    <mergeCell ref="B92:C92"/>
    <mergeCell ref="G77:I77"/>
    <mergeCell ref="G78:I78"/>
    <mergeCell ref="B87:C87"/>
    <mergeCell ref="D85:E85"/>
    <mergeCell ref="D79:E79"/>
    <mergeCell ref="D78:E78"/>
    <mergeCell ref="B85:C85"/>
    <mergeCell ref="D81:E81"/>
    <mergeCell ref="D82:E82"/>
    <mergeCell ref="D83:E83"/>
    <mergeCell ref="D84:E84"/>
    <mergeCell ref="B93:C93"/>
    <mergeCell ref="B94:C94"/>
    <mergeCell ref="D74:E74"/>
    <mergeCell ref="B86:C86"/>
    <mergeCell ref="B91:C91"/>
    <mergeCell ref="B78:C78"/>
    <mergeCell ref="B79:C79"/>
    <mergeCell ref="B82:C82"/>
    <mergeCell ref="B83:C83"/>
    <mergeCell ref="B84:C84"/>
  </mergeCells>
  <pageMargins left="0.31496062992125984" right="0.31496062992125984" top="0.55118110236220474" bottom="0.55118110236220474" header="0.31496062992125984" footer="0.31496062992125984"/>
  <pageSetup paperSize="9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8"/>
  <sheetViews>
    <sheetView zoomScale="120" zoomScaleNormal="120" workbookViewId="0">
      <selection activeCell="G3" sqref="G3"/>
    </sheetView>
  </sheetViews>
  <sheetFormatPr baseColWidth="10" defaultRowHeight="15" x14ac:dyDescent="0.25"/>
  <cols>
    <col min="1" max="1" width="0.7109375" customWidth="1"/>
    <col min="2" max="2" width="4.85546875" customWidth="1"/>
    <col min="3" max="3" width="39.5703125" customWidth="1"/>
    <col min="4" max="4" width="16.140625" customWidth="1"/>
    <col min="5" max="5" width="20" customWidth="1"/>
    <col min="6" max="8" width="17.7109375" customWidth="1"/>
  </cols>
  <sheetData>
    <row r="1" spans="2:8" ht="9.75" customHeight="1" x14ac:dyDescent="0.25"/>
    <row r="2" spans="2:8" ht="21" x14ac:dyDescent="0.25">
      <c r="B2" s="143" t="s">
        <v>154</v>
      </c>
      <c r="C2" s="143"/>
      <c r="D2" s="143"/>
      <c r="E2" s="143"/>
      <c r="F2" s="143"/>
      <c r="G2" s="143"/>
      <c r="H2" s="143"/>
    </row>
    <row r="3" spans="2:8" x14ac:dyDescent="0.25">
      <c r="G3" s="37"/>
    </row>
    <row r="4" spans="2:8" ht="34.5" x14ac:dyDescent="0.25">
      <c r="B4" s="43" t="s">
        <v>147</v>
      </c>
      <c r="C4" s="43" t="s">
        <v>148</v>
      </c>
      <c r="D4" s="43" t="s">
        <v>149</v>
      </c>
      <c r="E4" s="43" t="s">
        <v>150</v>
      </c>
      <c r="F4" s="43" t="s">
        <v>151</v>
      </c>
      <c r="G4" s="43" t="s">
        <v>152</v>
      </c>
      <c r="H4" s="43" t="s">
        <v>153</v>
      </c>
    </row>
    <row r="5" spans="2:8" s="36" customFormat="1" ht="17.25" x14ac:dyDescent="0.3">
      <c r="B5" s="35">
        <v>1</v>
      </c>
      <c r="C5" s="35"/>
      <c r="D5" s="35"/>
      <c r="E5" s="35"/>
      <c r="F5" s="38"/>
      <c r="G5" s="38"/>
      <c r="H5" s="38"/>
    </row>
    <row r="6" spans="2:8" s="36" customFormat="1" ht="17.25" x14ac:dyDescent="0.3">
      <c r="B6" s="35">
        <v>2</v>
      </c>
      <c r="C6" s="35"/>
      <c r="D6" s="35"/>
      <c r="E6" s="35"/>
      <c r="F6" s="38"/>
      <c r="G6" s="38"/>
      <c r="H6" s="38"/>
    </row>
    <row r="7" spans="2:8" s="36" customFormat="1" ht="17.25" x14ac:dyDescent="0.3">
      <c r="B7" s="35">
        <v>3</v>
      </c>
      <c r="C7" s="35"/>
      <c r="D7" s="35"/>
      <c r="E7" s="35"/>
      <c r="F7" s="38"/>
      <c r="G7" s="38"/>
      <c r="H7" s="38"/>
    </row>
    <row r="8" spans="2:8" s="36" customFormat="1" ht="17.25" x14ac:dyDescent="0.3">
      <c r="B8" s="35">
        <v>4</v>
      </c>
      <c r="C8" s="35"/>
      <c r="D8" s="35"/>
      <c r="E8" s="35"/>
      <c r="F8" s="38"/>
      <c r="G8" s="38"/>
      <c r="H8" s="38"/>
    </row>
    <row r="9" spans="2:8" s="36" customFormat="1" ht="17.25" x14ac:dyDescent="0.3">
      <c r="B9" s="35">
        <v>5</v>
      </c>
      <c r="C9" s="35"/>
      <c r="D9" s="35"/>
      <c r="E9" s="35"/>
      <c r="F9" s="38"/>
      <c r="G9" s="38"/>
      <c r="H9" s="38"/>
    </row>
    <row r="10" spans="2:8" s="36" customFormat="1" ht="17.25" x14ac:dyDescent="0.3">
      <c r="B10" s="35">
        <v>6</v>
      </c>
      <c r="C10" s="35"/>
      <c r="D10" s="35"/>
      <c r="E10" s="35"/>
      <c r="F10" s="38"/>
      <c r="G10" s="38"/>
      <c r="H10" s="38"/>
    </row>
    <row r="11" spans="2:8" s="36" customFormat="1" ht="17.25" x14ac:dyDescent="0.3">
      <c r="B11" s="35">
        <v>7</v>
      </c>
      <c r="C11" s="35"/>
      <c r="D11" s="35"/>
      <c r="E11" s="35"/>
      <c r="F11" s="38"/>
      <c r="G11" s="38"/>
      <c r="H11" s="38"/>
    </row>
    <row r="12" spans="2:8" s="36" customFormat="1" ht="17.25" x14ac:dyDescent="0.3">
      <c r="B12" s="35">
        <v>8</v>
      </c>
      <c r="C12" s="35"/>
      <c r="D12" s="35"/>
      <c r="E12" s="35"/>
      <c r="F12" s="38"/>
      <c r="G12" s="38"/>
      <c r="H12" s="38"/>
    </row>
    <row r="13" spans="2:8" s="36" customFormat="1" ht="17.25" x14ac:dyDescent="0.3">
      <c r="B13" s="35">
        <v>9</v>
      </c>
      <c r="C13" s="35"/>
      <c r="D13" s="35"/>
      <c r="E13" s="35"/>
      <c r="F13" s="38"/>
      <c r="G13" s="38"/>
      <c r="H13" s="38"/>
    </row>
    <row r="14" spans="2:8" s="36" customFormat="1" ht="17.25" x14ac:dyDescent="0.3">
      <c r="B14" s="35">
        <v>10</v>
      </c>
      <c r="C14" s="35"/>
      <c r="D14" s="35"/>
      <c r="E14" s="35"/>
      <c r="F14" s="38"/>
      <c r="G14" s="38"/>
      <c r="H14" s="38"/>
    </row>
    <row r="15" spans="2:8" s="36" customFormat="1" ht="17.25" x14ac:dyDescent="0.3">
      <c r="B15" s="35">
        <v>11</v>
      </c>
      <c r="C15" s="35"/>
      <c r="D15" s="35"/>
      <c r="E15" s="35"/>
      <c r="F15" s="38"/>
      <c r="G15" s="38"/>
      <c r="H15" s="38"/>
    </row>
    <row r="16" spans="2:8" s="36" customFormat="1" ht="17.25" x14ac:dyDescent="0.3">
      <c r="B16" s="35">
        <v>12</v>
      </c>
      <c r="C16" s="35"/>
      <c r="D16" s="35"/>
      <c r="E16" s="35"/>
      <c r="F16" s="38"/>
      <c r="G16" s="38"/>
      <c r="H16" s="38"/>
    </row>
    <row r="17" spans="2:8" s="36" customFormat="1" ht="17.25" x14ac:dyDescent="0.3">
      <c r="B17" s="35">
        <v>13</v>
      </c>
      <c r="C17" s="35"/>
      <c r="D17" s="35"/>
      <c r="E17" s="35"/>
      <c r="F17" s="38"/>
      <c r="G17" s="38"/>
      <c r="H17" s="38"/>
    </row>
    <row r="18" spans="2:8" s="36" customFormat="1" ht="17.25" x14ac:dyDescent="0.3">
      <c r="B18" s="35">
        <v>14</v>
      </c>
      <c r="C18" s="35"/>
      <c r="D18" s="35"/>
      <c r="E18" s="35"/>
      <c r="F18" s="38"/>
      <c r="G18" s="38"/>
      <c r="H18" s="38"/>
    </row>
    <row r="19" spans="2:8" s="36" customFormat="1" ht="17.25" x14ac:dyDescent="0.3">
      <c r="B19" s="35">
        <v>15</v>
      </c>
      <c r="C19" s="35"/>
      <c r="D19" s="35"/>
      <c r="E19" s="35"/>
      <c r="F19" s="38"/>
      <c r="G19" s="38"/>
      <c r="H19" s="38"/>
    </row>
    <row r="20" spans="2:8" s="36" customFormat="1" ht="17.25" x14ac:dyDescent="0.3">
      <c r="B20" s="35">
        <v>16</v>
      </c>
      <c r="C20" s="35"/>
      <c r="D20" s="35"/>
      <c r="E20" s="35"/>
      <c r="F20" s="38"/>
      <c r="G20" s="38"/>
      <c r="H20" s="38"/>
    </row>
    <row r="21" spans="2:8" s="36" customFormat="1" ht="17.25" x14ac:dyDescent="0.3">
      <c r="B21" s="35">
        <v>17</v>
      </c>
      <c r="C21" s="35"/>
      <c r="D21" s="35"/>
      <c r="E21" s="35"/>
      <c r="F21" s="38"/>
      <c r="G21" s="38"/>
      <c r="H21" s="38"/>
    </row>
    <row r="22" spans="2:8" s="36" customFormat="1" ht="17.25" x14ac:dyDescent="0.3">
      <c r="B22" s="35">
        <v>18</v>
      </c>
      <c r="C22" s="35"/>
      <c r="D22" s="35"/>
      <c r="E22" s="35"/>
      <c r="F22" s="38"/>
      <c r="G22" s="38"/>
      <c r="H22" s="38"/>
    </row>
    <row r="23" spans="2:8" s="36" customFormat="1" ht="17.25" x14ac:dyDescent="0.3">
      <c r="B23" s="35">
        <v>19</v>
      </c>
      <c r="C23" s="35"/>
      <c r="D23" s="35"/>
      <c r="E23" s="35"/>
      <c r="F23" s="38"/>
      <c r="G23" s="38"/>
      <c r="H23" s="38"/>
    </row>
    <row r="24" spans="2:8" s="36" customFormat="1" ht="17.25" x14ac:dyDescent="0.3">
      <c r="B24" s="35">
        <v>20</v>
      </c>
      <c r="C24" s="35"/>
      <c r="D24" s="35"/>
      <c r="E24" s="35"/>
      <c r="F24" s="38"/>
      <c r="G24" s="38"/>
      <c r="H24" s="38"/>
    </row>
    <row r="25" spans="2:8" s="36" customFormat="1" ht="17.25" x14ac:dyDescent="0.3">
      <c r="B25" s="35"/>
      <c r="C25" s="35"/>
      <c r="D25" s="35"/>
      <c r="E25" s="35"/>
      <c r="F25" s="38"/>
      <c r="G25" s="38"/>
      <c r="H25" s="38"/>
    </row>
    <row r="26" spans="2:8" s="36" customFormat="1" ht="17.25" x14ac:dyDescent="0.3">
      <c r="B26" s="35"/>
      <c r="C26" s="35"/>
      <c r="D26" s="35"/>
      <c r="E26" s="35"/>
      <c r="F26" s="38"/>
      <c r="G26" s="38"/>
      <c r="H26" s="38"/>
    </row>
    <row r="27" spans="2:8" s="36" customFormat="1" ht="17.25" x14ac:dyDescent="0.3">
      <c r="B27" s="35"/>
      <c r="C27" s="35"/>
      <c r="D27" s="35"/>
      <c r="E27" s="35"/>
      <c r="F27" s="38"/>
      <c r="G27" s="38"/>
      <c r="H27" s="38"/>
    </row>
    <row r="28" spans="2:8" ht="21" x14ac:dyDescent="0.35">
      <c r="B28" s="1"/>
      <c r="C28" s="88" t="s">
        <v>155</v>
      </c>
      <c r="D28" s="1"/>
      <c r="E28" s="1"/>
      <c r="F28" s="87"/>
      <c r="G28" s="87"/>
      <c r="H28" s="87"/>
    </row>
  </sheetData>
  <mergeCells count="1">
    <mergeCell ref="B2:H2"/>
  </mergeCells>
  <pageMargins left="0.70866141732283472" right="0.51181102362204722" top="0.74803149606299213" bottom="0.55118110236220474" header="0.31496062992125984" footer="0.31496062992125984"/>
  <pageSetup paperSize="9" orientation="landscape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95"/>
  <sheetViews>
    <sheetView tabSelected="1" topLeftCell="A16" zoomScaleNormal="100" workbookViewId="0">
      <selection activeCell="T6" sqref="T6"/>
    </sheetView>
  </sheetViews>
  <sheetFormatPr baseColWidth="10" defaultRowHeight="15" x14ac:dyDescent="0.25"/>
  <cols>
    <col min="1" max="1" width="2.7109375" customWidth="1"/>
    <col min="2" max="2" width="2.42578125" customWidth="1"/>
    <col min="3" max="3" width="0.42578125" customWidth="1"/>
    <col min="4" max="4" width="4" bestFit="1" customWidth="1"/>
    <col min="5" max="5" width="3.140625" customWidth="1"/>
    <col min="6" max="6" width="6.140625" customWidth="1"/>
    <col min="7" max="7" width="5.140625" customWidth="1"/>
    <col min="8" max="8" width="10.42578125" customWidth="1"/>
    <col min="9" max="9" width="3.7109375" customWidth="1"/>
    <col min="10" max="10" width="4" customWidth="1"/>
    <col min="11" max="11" width="4.140625" customWidth="1"/>
    <col min="12" max="12" width="5.5703125" customWidth="1"/>
    <col min="13" max="13" width="3" customWidth="1"/>
    <col min="14" max="15" width="1.42578125" customWidth="1"/>
    <col min="16" max="16" width="2.42578125" customWidth="1"/>
    <col min="17" max="17" width="1.7109375" customWidth="1"/>
    <col min="18" max="18" width="4" customWidth="1"/>
    <col min="19" max="19" width="2.85546875" customWidth="1"/>
    <col min="20" max="20" width="17.85546875" customWidth="1"/>
    <col min="21" max="21" width="3" customWidth="1"/>
    <col min="22" max="22" width="2.5703125" customWidth="1"/>
    <col min="23" max="23" width="2.140625" customWidth="1"/>
    <col min="24" max="24" width="1.5703125" customWidth="1"/>
    <col min="25" max="25" width="1.42578125" customWidth="1"/>
    <col min="26" max="26" width="1.140625" customWidth="1"/>
    <col min="27" max="27" width="2.7109375" customWidth="1"/>
    <col min="28" max="28" width="1.85546875" customWidth="1"/>
    <col min="29" max="29" width="4.42578125" customWidth="1"/>
    <col min="30" max="30" width="3.85546875" customWidth="1"/>
    <col min="31" max="31" width="2.28515625" customWidth="1"/>
    <col min="32" max="32" width="1.7109375" customWidth="1"/>
    <col min="33" max="33" width="4.140625" customWidth="1"/>
    <col min="34" max="34" width="5.140625" customWidth="1"/>
    <col min="35" max="35" width="3.28515625" customWidth="1"/>
    <col min="36" max="36" width="1.140625" customWidth="1"/>
    <col min="37" max="37" width="5.42578125" customWidth="1"/>
    <col min="38" max="38" width="5.140625" customWidth="1"/>
    <col min="39" max="39" width="2.140625" customWidth="1"/>
    <col min="40" max="40" width="2.7109375" customWidth="1"/>
    <col min="41" max="41" width="1.5703125" customWidth="1"/>
    <col min="42" max="42" width="0.85546875" customWidth="1"/>
    <col min="43" max="43" width="7.7109375" bestFit="1" customWidth="1"/>
    <col min="44" max="44" width="30.42578125" customWidth="1"/>
    <col min="45" max="45" width="3" bestFit="1" customWidth="1"/>
  </cols>
  <sheetData>
    <row r="1" spans="1:45" ht="3.75" customHeight="1" x14ac:dyDescent="0.25">
      <c r="A1" s="8"/>
      <c r="B1" s="9"/>
      <c r="C1" s="9"/>
      <c r="D1" s="10"/>
      <c r="E1" s="9"/>
      <c r="F1" s="9"/>
      <c r="G1" s="8"/>
      <c r="H1" s="9"/>
      <c r="I1" s="8"/>
      <c r="J1" s="9"/>
      <c r="K1" s="8"/>
      <c r="L1" s="9"/>
      <c r="M1" s="8"/>
      <c r="N1" s="9"/>
      <c r="O1" s="8"/>
      <c r="P1" s="9"/>
      <c r="Q1" s="8"/>
      <c r="R1" s="9"/>
      <c r="S1" s="8"/>
      <c r="T1" s="9"/>
      <c r="U1" s="8"/>
      <c r="V1" s="9"/>
      <c r="W1" s="11"/>
      <c r="X1" s="12"/>
      <c r="Y1" s="8"/>
      <c r="Z1" s="9"/>
      <c r="AA1" s="8"/>
      <c r="AB1" s="8"/>
      <c r="AC1" s="8"/>
      <c r="AD1" s="9"/>
      <c r="AE1" s="8"/>
      <c r="AF1" s="9"/>
      <c r="AG1" s="8"/>
      <c r="AH1" s="9"/>
      <c r="AI1" s="8"/>
      <c r="AJ1" s="9"/>
      <c r="AK1" s="8"/>
      <c r="AL1" s="9"/>
      <c r="AM1" s="8"/>
      <c r="AN1" s="9"/>
      <c r="AO1" s="8"/>
      <c r="AP1" s="9"/>
      <c r="AQ1" s="8"/>
      <c r="AR1" s="13"/>
      <c r="AS1" s="9"/>
    </row>
    <row r="2" spans="1:45" ht="30" x14ac:dyDescent="0.25">
      <c r="A2" s="8"/>
      <c r="B2" s="9"/>
      <c r="C2" s="9"/>
      <c r="D2" s="10"/>
      <c r="E2" s="9"/>
      <c r="F2" s="9"/>
      <c r="G2" s="8"/>
      <c r="H2" s="9"/>
      <c r="I2" s="8"/>
      <c r="J2" s="9"/>
      <c r="K2" s="14" t="s">
        <v>84</v>
      </c>
      <c r="L2" s="9"/>
      <c r="M2" s="8"/>
      <c r="N2" s="9"/>
      <c r="O2" s="8"/>
      <c r="P2" s="9"/>
      <c r="Q2" s="8"/>
      <c r="R2" s="9"/>
      <c r="S2" s="8"/>
      <c r="T2" s="9"/>
      <c r="U2" s="8"/>
      <c r="V2" s="9"/>
      <c r="W2" s="11"/>
      <c r="X2" s="12"/>
      <c r="Y2" s="8"/>
      <c r="Z2" s="9"/>
      <c r="AA2" s="8"/>
      <c r="AB2" s="8"/>
      <c r="AC2" s="8"/>
      <c r="AD2" s="9"/>
      <c r="AE2" s="8"/>
      <c r="AF2" s="9"/>
      <c r="AG2" s="8"/>
      <c r="AH2" s="9"/>
      <c r="AI2" s="8"/>
      <c r="AJ2" s="9"/>
      <c r="AK2" s="8"/>
      <c r="AL2" s="9"/>
      <c r="AM2" s="8"/>
      <c r="AN2" s="9"/>
      <c r="AO2" s="8"/>
      <c r="AP2" s="9"/>
      <c r="AQ2" s="8"/>
      <c r="AR2" s="13"/>
      <c r="AS2" s="9"/>
    </row>
    <row r="3" spans="1:45" ht="5.25" customHeight="1" x14ac:dyDescent="0.25">
      <c r="A3" s="8"/>
      <c r="B3" s="9"/>
      <c r="C3" s="9"/>
      <c r="D3" s="8"/>
      <c r="E3" s="8"/>
      <c r="F3" s="8"/>
      <c r="G3" s="8"/>
      <c r="H3" s="8"/>
      <c r="I3" s="8"/>
      <c r="J3" s="9"/>
      <c r="K3" s="8"/>
      <c r="L3" s="9"/>
      <c r="M3" s="8"/>
      <c r="N3" s="9"/>
      <c r="O3" s="8"/>
      <c r="P3" s="9"/>
      <c r="Q3" s="8"/>
      <c r="R3" s="9"/>
      <c r="S3" s="8"/>
      <c r="T3" s="9"/>
      <c r="U3" s="8"/>
      <c r="V3" s="9"/>
      <c r="W3" s="11"/>
      <c r="X3" s="12"/>
      <c r="Y3" s="8"/>
      <c r="Z3" s="9"/>
      <c r="AA3" s="8"/>
      <c r="AB3" s="8"/>
      <c r="AC3" s="8"/>
      <c r="AD3" s="9"/>
      <c r="AE3" s="8"/>
      <c r="AF3" s="9"/>
      <c r="AG3" s="8"/>
      <c r="AH3" s="9"/>
      <c r="AI3" s="8"/>
      <c r="AJ3" s="9"/>
      <c r="AK3" s="8"/>
      <c r="AL3" s="9"/>
      <c r="AM3" s="8"/>
      <c r="AN3" s="9"/>
      <c r="AO3" s="8"/>
      <c r="AP3" s="9"/>
      <c r="AQ3" s="8"/>
      <c r="AR3" s="13"/>
      <c r="AS3" s="9"/>
    </row>
    <row r="4" spans="1:45" ht="15.75" x14ac:dyDescent="0.25">
      <c r="A4" s="8"/>
      <c r="B4" s="9"/>
      <c r="C4" s="9"/>
      <c r="D4" s="8"/>
      <c r="E4" s="8"/>
      <c r="F4" s="8"/>
      <c r="G4" s="8"/>
      <c r="H4" s="8"/>
      <c r="I4" s="8"/>
      <c r="J4" s="8"/>
      <c r="K4" s="8"/>
      <c r="L4" s="8"/>
      <c r="M4" s="144" t="s">
        <v>30</v>
      </c>
      <c r="N4" s="144"/>
      <c r="O4" s="144"/>
      <c r="P4" s="144"/>
      <c r="Q4" s="144"/>
      <c r="R4" s="144"/>
      <c r="S4" s="144"/>
      <c r="T4" s="144"/>
      <c r="U4" s="8"/>
      <c r="V4" s="145" t="s">
        <v>31</v>
      </c>
      <c r="W4" s="145"/>
      <c r="X4" s="145"/>
      <c r="Y4" s="145"/>
      <c r="Z4" s="145"/>
      <c r="AA4" s="145"/>
      <c r="AB4" s="145"/>
      <c r="AC4" s="145"/>
      <c r="AD4" s="145"/>
      <c r="AE4" s="145"/>
      <c r="AF4" s="145"/>
      <c r="AG4" s="145"/>
      <c r="AH4" s="145"/>
      <c r="AI4" s="145"/>
      <c r="AJ4" s="145"/>
      <c r="AK4" s="145"/>
      <c r="AL4" s="145"/>
      <c r="AM4" s="145"/>
      <c r="AN4" s="145"/>
      <c r="AO4" s="15"/>
      <c r="AP4" s="16"/>
      <c r="AQ4" s="145" t="s">
        <v>29</v>
      </c>
      <c r="AR4" s="17"/>
      <c r="AS4" s="9"/>
    </row>
    <row r="5" spans="1:45" ht="15.75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146">
        <v>15</v>
      </c>
      <c r="N5" s="146"/>
      <c r="O5" s="146" t="s">
        <v>85</v>
      </c>
      <c r="P5" s="146"/>
      <c r="Q5" s="146"/>
      <c r="R5" s="146"/>
      <c r="S5" s="146"/>
      <c r="T5" s="18" t="s">
        <v>86</v>
      </c>
      <c r="U5" s="8"/>
      <c r="V5" s="145"/>
      <c r="W5" s="145"/>
      <c r="X5" s="145"/>
      <c r="Y5" s="145"/>
      <c r="Z5" s="145"/>
      <c r="AA5" s="145"/>
      <c r="AB5" s="145"/>
      <c r="AC5" s="145"/>
      <c r="AD5" s="145"/>
      <c r="AE5" s="145"/>
      <c r="AF5" s="145"/>
      <c r="AG5" s="145"/>
      <c r="AH5" s="145"/>
      <c r="AI5" s="145"/>
      <c r="AJ5" s="145"/>
      <c r="AK5" s="145"/>
      <c r="AL5" s="145"/>
      <c r="AM5" s="145"/>
      <c r="AN5" s="145"/>
      <c r="AO5" s="15"/>
      <c r="AP5" s="16"/>
      <c r="AQ5" s="145"/>
      <c r="AR5" s="19"/>
      <c r="AS5" s="9"/>
    </row>
    <row r="6" spans="1:45" ht="18" x14ac:dyDescent="0.25">
      <c r="A6" s="8"/>
      <c r="B6" s="9"/>
      <c r="C6" s="9"/>
      <c r="D6" s="8"/>
      <c r="E6" s="8"/>
      <c r="F6" s="8"/>
      <c r="G6" s="8"/>
      <c r="H6" s="8"/>
      <c r="I6" s="8"/>
      <c r="J6" s="8"/>
      <c r="K6" s="8"/>
      <c r="L6" s="8"/>
      <c r="M6" s="146"/>
      <c r="N6" s="146"/>
      <c r="O6" s="147"/>
      <c r="P6" s="147"/>
      <c r="Q6" s="147"/>
      <c r="R6" s="147"/>
      <c r="S6" s="147"/>
      <c r="T6" s="34"/>
      <c r="U6" s="8"/>
      <c r="V6" s="148" t="s">
        <v>70</v>
      </c>
      <c r="W6" s="148"/>
      <c r="X6" s="149"/>
      <c r="Y6" s="149"/>
      <c r="Z6" s="149"/>
      <c r="AA6" s="149"/>
      <c r="AB6" s="149"/>
      <c r="AC6" s="149"/>
      <c r="AD6" s="149"/>
      <c r="AE6" s="149"/>
      <c r="AF6" s="149"/>
      <c r="AG6" s="149"/>
      <c r="AH6" s="149"/>
      <c r="AI6" s="149"/>
      <c r="AJ6" s="149"/>
      <c r="AK6" s="149"/>
      <c r="AL6" s="20"/>
      <c r="AM6" s="150" t="str">
        <f>IF(X6&gt;0,IF(AO6=1,"K",IF(AO6=0,"0",11-AO6)),"")</f>
        <v/>
      </c>
      <c r="AN6" s="150"/>
      <c r="AO6" s="21" t="str">
        <f>IF(X6&gt;0,IF(X6&gt;9999999,MOD((RIGHT(X6,1)*2+LEFT(RIGHT(X6,2),1)*3+LEFT(RIGHT(X6,3),1)*4+LEFT(RIGHT(X6,4),1)*5+LEFT(RIGHT(X6,5),1)*6+LEFT(RIGHT(X6,6),1)*7+LEFT(RIGHT(X6,7),1)*2+LEFT(RIGHT(X6,8),1)*3),11),MOD((RIGHT(X6,1)*2+LEFT(RIGHT(X6,2),1)*3+LEFT(RIGHT(X6,3),1)*4+LEFT(RIGHT(X6,4),1)*5+LEFT(RIGHT(X6,5),1)*6+LEFT(RIGHT(X6,6),1)*7+LEFT(RIGHT(X6,7),1)*2),11)),"")</f>
        <v/>
      </c>
      <c r="AP6" s="16"/>
      <c r="AQ6" s="22" t="s">
        <v>87</v>
      </c>
      <c r="AR6" s="19"/>
      <c r="AS6" s="9"/>
    </row>
    <row r="7" spans="1:45" ht="7.5" customHeight="1" x14ac:dyDescent="0.25">
      <c r="A7" s="8"/>
      <c r="B7" s="9"/>
      <c r="C7" s="9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11"/>
      <c r="X7" s="11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19"/>
      <c r="AS7" s="9"/>
    </row>
    <row r="8" spans="1:45" ht="15.75" x14ac:dyDescent="0.25">
      <c r="A8" s="8"/>
      <c r="B8" s="156" t="s">
        <v>88</v>
      </c>
      <c r="C8" s="157"/>
      <c r="D8" s="144" t="s">
        <v>32</v>
      </c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 t="s">
        <v>33</v>
      </c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  <c r="AK8" s="144"/>
      <c r="AL8" s="144"/>
      <c r="AM8" s="144"/>
      <c r="AN8" s="144" t="s">
        <v>34</v>
      </c>
      <c r="AO8" s="144"/>
      <c r="AP8" s="144"/>
      <c r="AQ8" s="144"/>
      <c r="AR8" s="144"/>
      <c r="AS8" s="144"/>
    </row>
    <row r="9" spans="1:45" ht="18" x14ac:dyDescent="0.25">
      <c r="A9" s="8"/>
      <c r="B9" s="158"/>
      <c r="C9" s="159"/>
      <c r="D9" s="18">
        <v>1</v>
      </c>
      <c r="E9" s="162" t="s">
        <v>89</v>
      </c>
      <c r="F9" s="163" t="s">
        <v>35</v>
      </c>
      <c r="G9" s="152" t="s">
        <v>36</v>
      </c>
      <c r="H9" s="152"/>
      <c r="I9" s="152"/>
      <c r="J9" s="152"/>
      <c r="K9" s="152"/>
      <c r="L9" s="152"/>
      <c r="M9" s="152"/>
      <c r="N9" s="152"/>
      <c r="O9" s="152"/>
      <c r="P9" s="152"/>
      <c r="Q9" s="152"/>
      <c r="R9" s="152"/>
      <c r="S9" s="152"/>
      <c r="T9" s="152"/>
      <c r="U9" s="152"/>
      <c r="V9" s="152"/>
      <c r="W9" s="153">
        <v>585</v>
      </c>
      <c r="X9" s="153"/>
      <c r="Y9" s="154"/>
      <c r="Z9" s="154"/>
      <c r="AA9" s="154"/>
      <c r="AB9" s="154"/>
      <c r="AC9" s="154"/>
      <c r="AD9" s="154"/>
      <c r="AE9" s="154"/>
      <c r="AF9" s="154"/>
      <c r="AG9" s="154"/>
      <c r="AH9" s="154"/>
      <c r="AI9" s="154"/>
      <c r="AJ9" s="154"/>
      <c r="AK9" s="154"/>
      <c r="AL9" s="154"/>
      <c r="AM9" s="154"/>
      <c r="AN9" s="155">
        <v>20</v>
      </c>
      <c r="AO9" s="155"/>
      <c r="AP9" s="151"/>
      <c r="AQ9" s="151"/>
      <c r="AR9" s="151"/>
      <c r="AS9" s="23"/>
    </row>
    <row r="10" spans="1:45" ht="18" x14ac:dyDescent="0.25">
      <c r="A10" s="8"/>
      <c r="B10" s="158"/>
      <c r="C10" s="159"/>
      <c r="D10" s="18">
        <v>2</v>
      </c>
      <c r="E10" s="162"/>
      <c r="F10" s="163"/>
      <c r="G10" s="152" t="s">
        <v>37</v>
      </c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3">
        <v>586</v>
      </c>
      <c r="X10" s="153">
        <v>6</v>
      </c>
      <c r="Y10" s="154"/>
      <c r="Z10" s="154"/>
      <c r="AA10" s="154"/>
      <c r="AB10" s="154"/>
      <c r="AC10" s="154"/>
      <c r="AD10" s="154"/>
      <c r="AE10" s="154"/>
      <c r="AF10" s="154"/>
      <c r="AG10" s="154"/>
      <c r="AH10" s="154"/>
      <c r="AI10" s="154"/>
      <c r="AJ10" s="154"/>
      <c r="AK10" s="154"/>
      <c r="AL10" s="154"/>
      <c r="AM10" s="154"/>
      <c r="AN10" s="155">
        <v>142</v>
      </c>
      <c r="AO10" s="155"/>
      <c r="AP10" s="151"/>
      <c r="AQ10" s="151"/>
      <c r="AR10" s="151"/>
      <c r="AS10" s="23"/>
    </row>
    <row r="11" spans="1:45" ht="18" x14ac:dyDescent="0.25">
      <c r="A11" s="8"/>
      <c r="B11" s="158"/>
      <c r="C11" s="159"/>
      <c r="D11" s="18">
        <v>3</v>
      </c>
      <c r="E11" s="162"/>
      <c r="F11" s="163"/>
      <c r="G11" s="164" t="s">
        <v>198</v>
      </c>
      <c r="H11" s="165"/>
      <c r="I11" s="165"/>
      <c r="J11" s="165"/>
      <c r="K11" s="165"/>
      <c r="L11" s="165"/>
      <c r="M11" s="165"/>
      <c r="N11" s="165"/>
      <c r="O11" s="165"/>
      <c r="P11" s="165"/>
      <c r="Q11" s="165"/>
      <c r="R11" s="165"/>
      <c r="S11" s="165"/>
      <c r="T11" s="165"/>
      <c r="U11" s="165"/>
      <c r="V11" s="166"/>
      <c r="W11" s="167">
        <v>731</v>
      </c>
      <c r="X11" s="168"/>
      <c r="Y11" s="154"/>
      <c r="Z11" s="154"/>
      <c r="AA11" s="154"/>
      <c r="AB11" s="154"/>
      <c r="AC11" s="154"/>
      <c r="AD11" s="154"/>
      <c r="AE11" s="154"/>
      <c r="AF11" s="154"/>
      <c r="AG11" s="154"/>
      <c r="AH11" s="154"/>
      <c r="AI11" s="154"/>
      <c r="AJ11" s="154"/>
      <c r="AK11" s="154"/>
      <c r="AL11" s="154"/>
      <c r="AM11" s="154"/>
      <c r="AN11" s="155">
        <v>732</v>
      </c>
      <c r="AO11" s="155"/>
      <c r="AP11" s="151"/>
      <c r="AQ11" s="151"/>
      <c r="AR11" s="151"/>
      <c r="AS11" s="23"/>
    </row>
    <row r="12" spans="1:45" ht="18" x14ac:dyDescent="0.25">
      <c r="A12" s="8"/>
      <c r="B12" s="158"/>
      <c r="C12" s="159"/>
      <c r="D12" s="18">
        <v>4</v>
      </c>
      <c r="E12" s="162"/>
      <c r="F12" s="163"/>
      <c r="G12" s="164" t="s">
        <v>199</v>
      </c>
      <c r="H12" s="165"/>
      <c r="I12" s="165"/>
      <c r="J12" s="165"/>
      <c r="K12" s="165"/>
      <c r="L12" s="165"/>
      <c r="M12" s="165"/>
      <c r="N12" s="165"/>
      <c r="O12" s="165"/>
      <c r="P12" s="165"/>
      <c r="Q12" s="165"/>
      <c r="R12" s="165"/>
      <c r="S12" s="165"/>
      <c r="T12" s="165"/>
      <c r="U12" s="165"/>
      <c r="V12" s="166"/>
      <c r="W12" s="167">
        <v>714</v>
      </c>
      <c r="X12" s="168"/>
      <c r="Y12" s="154"/>
      <c r="Z12" s="154"/>
      <c r="AA12" s="154"/>
      <c r="AB12" s="154"/>
      <c r="AC12" s="154"/>
      <c r="AD12" s="154"/>
      <c r="AE12" s="154"/>
      <c r="AF12" s="154"/>
      <c r="AG12" s="154"/>
      <c r="AH12" s="154"/>
      <c r="AI12" s="154"/>
      <c r="AJ12" s="154"/>
      <c r="AK12" s="154"/>
      <c r="AL12" s="154"/>
      <c r="AM12" s="154"/>
      <c r="AN12" s="155">
        <v>715</v>
      </c>
      <c r="AO12" s="155"/>
      <c r="AP12" s="151"/>
      <c r="AQ12" s="151"/>
      <c r="AR12" s="151"/>
      <c r="AS12" s="23"/>
    </row>
    <row r="13" spans="1:45" ht="18" x14ac:dyDescent="0.25">
      <c r="A13" s="8"/>
      <c r="B13" s="158"/>
      <c r="C13" s="159"/>
      <c r="D13" s="18">
        <v>5</v>
      </c>
      <c r="E13" s="162"/>
      <c r="F13" s="163"/>
      <c r="G13" s="164" t="s">
        <v>90</v>
      </c>
      <c r="H13" s="165"/>
      <c r="I13" s="165"/>
      <c r="J13" s="165"/>
      <c r="K13" s="165"/>
      <c r="L13" s="165"/>
      <c r="M13" s="165"/>
      <c r="N13" s="165"/>
      <c r="O13" s="165"/>
      <c r="P13" s="165"/>
      <c r="Q13" s="165"/>
      <c r="R13" s="165"/>
      <c r="S13" s="165"/>
      <c r="T13" s="165"/>
      <c r="U13" s="165"/>
      <c r="V13" s="166"/>
      <c r="W13" s="167">
        <v>515</v>
      </c>
      <c r="X13" s="168"/>
      <c r="Y13" s="169"/>
      <c r="Z13" s="170"/>
      <c r="AA13" s="170"/>
      <c r="AB13" s="170"/>
      <c r="AC13" s="170"/>
      <c r="AD13" s="170"/>
      <c r="AE13" s="170"/>
      <c r="AF13" s="170"/>
      <c r="AG13" s="170"/>
      <c r="AH13" s="170"/>
      <c r="AI13" s="170"/>
      <c r="AJ13" s="170"/>
      <c r="AK13" s="170"/>
      <c r="AL13" s="170"/>
      <c r="AM13" s="171"/>
      <c r="AN13" s="155">
        <v>587</v>
      </c>
      <c r="AO13" s="155"/>
      <c r="AP13" s="172"/>
      <c r="AQ13" s="173"/>
      <c r="AR13" s="174"/>
      <c r="AS13" s="23"/>
    </row>
    <row r="14" spans="1:45" ht="18" x14ac:dyDescent="0.25">
      <c r="A14" s="8"/>
      <c r="B14" s="158"/>
      <c r="C14" s="159"/>
      <c r="D14" s="18">
        <v>6</v>
      </c>
      <c r="E14" s="162"/>
      <c r="F14" s="163"/>
      <c r="G14" s="152" t="s">
        <v>200</v>
      </c>
      <c r="H14" s="152"/>
      <c r="I14" s="152"/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2"/>
      <c r="U14" s="152"/>
      <c r="V14" s="152"/>
      <c r="W14" s="175"/>
      <c r="X14" s="175"/>
      <c r="Y14" s="154"/>
      <c r="Z14" s="154"/>
      <c r="AA14" s="154"/>
      <c r="AB14" s="154"/>
      <c r="AC14" s="154"/>
      <c r="AD14" s="154"/>
      <c r="AE14" s="154"/>
      <c r="AF14" s="154"/>
      <c r="AG14" s="154"/>
      <c r="AH14" s="154"/>
      <c r="AI14" s="154"/>
      <c r="AJ14" s="154"/>
      <c r="AK14" s="154"/>
      <c r="AL14" s="154"/>
      <c r="AM14" s="154"/>
      <c r="AN14" s="155">
        <v>720</v>
      </c>
      <c r="AO14" s="155"/>
      <c r="AP14" s="151"/>
      <c r="AQ14" s="151"/>
      <c r="AR14" s="151"/>
      <c r="AS14" s="23"/>
    </row>
    <row r="15" spans="1:45" ht="15.75" x14ac:dyDescent="0.25">
      <c r="A15" s="8"/>
      <c r="B15" s="158"/>
      <c r="C15" s="159"/>
      <c r="D15" s="18"/>
      <c r="E15" s="162"/>
      <c r="F15" s="176"/>
      <c r="G15" s="176"/>
      <c r="H15" s="176"/>
      <c r="I15" s="176"/>
      <c r="J15" s="176"/>
      <c r="K15" s="176"/>
      <c r="L15" s="176"/>
      <c r="M15" s="176"/>
      <c r="N15" s="176"/>
      <c r="O15" s="176"/>
      <c r="P15" s="176"/>
      <c r="Q15" s="176"/>
      <c r="R15" s="176"/>
      <c r="S15" s="176"/>
      <c r="T15" s="176"/>
      <c r="U15" s="176"/>
      <c r="V15" s="176"/>
      <c r="W15" s="144" t="s">
        <v>33</v>
      </c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4"/>
      <c r="AM15" s="144"/>
      <c r="AN15" s="144" t="s">
        <v>38</v>
      </c>
      <c r="AO15" s="144"/>
      <c r="AP15" s="144"/>
      <c r="AQ15" s="144"/>
      <c r="AR15" s="144"/>
      <c r="AS15" s="144"/>
    </row>
    <row r="16" spans="1:45" ht="18.75" x14ac:dyDescent="0.25">
      <c r="A16" s="8"/>
      <c r="B16" s="158"/>
      <c r="C16" s="159"/>
      <c r="D16" s="18">
        <v>7</v>
      </c>
      <c r="E16" s="162"/>
      <c r="F16" s="177" t="s">
        <v>39</v>
      </c>
      <c r="G16" s="152" t="s">
        <v>40</v>
      </c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3">
        <v>503</v>
      </c>
      <c r="X16" s="153">
        <v>3</v>
      </c>
      <c r="Y16" s="178"/>
      <c r="Z16" s="179"/>
      <c r="AA16" s="179"/>
      <c r="AB16" s="179"/>
      <c r="AC16" s="179"/>
      <c r="AD16" s="179"/>
      <c r="AE16" s="179"/>
      <c r="AF16" s="179"/>
      <c r="AG16" s="179"/>
      <c r="AH16" s="179"/>
      <c r="AI16" s="179"/>
      <c r="AJ16" s="179"/>
      <c r="AK16" s="179"/>
      <c r="AL16" s="179"/>
      <c r="AM16" s="180"/>
      <c r="AN16" s="155">
        <v>502</v>
      </c>
      <c r="AO16" s="155"/>
      <c r="AP16" s="151"/>
      <c r="AQ16" s="151"/>
      <c r="AR16" s="151"/>
      <c r="AS16" s="89" t="s">
        <v>41</v>
      </c>
    </row>
    <row r="17" spans="1:45" ht="18.75" x14ac:dyDescent="0.25">
      <c r="A17" s="8"/>
      <c r="B17" s="158"/>
      <c r="C17" s="159"/>
      <c r="D17" s="18">
        <v>8</v>
      </c>
      <c r="E17" s="162"/>
      <c r="F17" s="177"/>
      <c r="G17" s="164" t="s">
        <v>201</v>
      </c>
      <c r="H17" s="165"/>
      <c r="I17" s="165"/>
      <c r="J17" s="165"/>
      <c r="K17" s="165"/>
      <c r="L17" s="165"/>
      <c r="M17" s="165"/>
      <c r="N17" s="165"/>
      <c r="O17" s="165"/>
      <c r="P17" s="165"/>
      <c r="Q17" s="165"/>
      <c r="R17" s="165"/>
      <c r="S17" s="165"/>
      <c r="T17" s="165"/>
      <c r="U17" s="165"/>
      <c r="V17" s="166"/>
      <c r="W17" s="153">
        <v>716</v>
      </c>
      <c r="X17" s="153">
        <v>3</v>
      </c>
      <c r="Y17" s="178"/>
      <c r="Z17" s="179"/>
      <c r="AA17" s="179"/>
      <c r="AB17" s="179"/>
      <c r="AC17" s="179"/>
      <c r="AD17" s="179"/>
      <c r="AE17" s="179"/>
      <c r="AF17" s="179"/>
      <c r="AG17" s="179"/>
      <c r="AH17" s="179"/>
      <c r="AI17" s="179"/>
      <c r="AJ17" s="179"/>
      <c r="AK17" s="179"/>
      <c r="AL17" s="179"/>
      <c r="AM17" s="180"/>
      <c r="AN17" s="155">
        <v>717</v>
      </c>
      <c r="AO17" s="155"/>
      <c r="AP17" s="151"/>
      <c r="AQ17" s="151"/>
      <c r="AR17" s="151"/>
      <c r="AS17" s="89" t="s">
        <v>41</v>
      </c>
    </row>
    <row r="18" spans="1:45" ht="18.75" x14ac:dyDescent="0.25">
      <c r="A18" s="8"/>
      <c r="B18" s="158"/>
      <c r="C18" s="159"/>
      <c r="D18" s="18">
        <v>9</v>
      </c>
      <c r="E18" s="162"/>
      <c r="F18" s="177"/>
      <c r="G18" s="152" t="s">
        <v>42</v>
      </c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3">
        <v>110</v>
      </c>
      <c r="X18" s="153">
        <v>0</v>
      </c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81"/>
      <c r="AJ18" s="181"/>
      <c r="AK18" s="181"/>
      <c r="AL18" s="181"/>
      <c r="AM18" s="181"/>
      <c r="AN18" s="155">
        <v>111</v>
      </c>
      <c r="AO18" s="155"/>
      <c r="AP18" s="151"/>
      <c r="AQ18" s="151"/>
      <c r="AR18" s="151"/>
      <c r="AS18" s="89" t="s">
        <v>41</v>
      </c>
    </row>
    <row r="19" spans="1:45" ht="18.75" x14ac:dyDescent="0.25">
      <c r="A19" s="8"/>
      <c r="B19" s="158"/>
      <c r="C19" s="159"/>
      <c r="D19" s="18">
        <v>10</v>
      </c>
      <c r="E19" s="162"/>
      <c r="F19" s="177"/>
      <c r="G19" s="152" t="s">
        <v>43</v>
      </c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3">
        <v>512</v>
      </c>
      <c r="X19" s="153">
        <v>2</v>
      </c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81"/>
      <c r="AJ19" s="181"/>
      <c r="AK19" s="181"/>
      <c r="AL19" s="181"/>
      <c r="AM19" s="181"/>
      <c r="AN19" s="155">
        <v>513</v>
      </c>
      <c r="AO19" s="155"/>
      <c r="AP19" s="151"/>
      <c r="AQ19" s="151"/>
      <c r="AR19" s="151"/>
      <c r="AS19" s="89" t="s">
        <v>41</v>
      </c>
    </row>
    <row r="20" spans="1:45" ht="18.75" x14ac:dyDescent="0.25">
      <c r="A20" s="8"/>
      <c r="B20" s="158"/>
      <c r="C20" s="159"/>
      <c r="D20" s="18">
        <v>11</v>
      </c>
      <c r="E20" s="162"/>
      <c r="F20" s="177"/>
      <c r="G20" s="152" t="s">
        <v>44</v>
      </c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2"/>
      <c r="V20" s="152"/>
      <c r="W20" s="153">
        <v>509</v>
      </c>
      <c r="X20" s="153">
        <v>9</v>
      </c>
      <c r="Y20" s="181"/>
      <c r="Z20" s="181"/>
      <c r="AA20" s="181"/>
      <c r="AB20" s="181"/>
      <c r="AC20" s="181"/>
      <c r="AD20" s="181"/>
      <c r="AE20" s="181"/>
      <c r="AF20" s="181"/>
      <c r="AG20" s="181"/>
      <c r="AH20" s="181"/>
      <c r="AI20" s="181"/>
      <c r="AJ20" s="181"/>
      <c r="AK20" s="181"/>
      <c r="AL20" s="181"/>
      <c r="AM20" s="181"/>
      <c r="AN20" s="155">
        <v>510</v>
      </c>
      <c r="AO20" s="155"/>
      <c r="AP20" s="151"/>
      <c r="AQ20" s="151"/>
      <c r="AR20" s="151"/>
      <c r="AS20" s="89" t="s">
        <v>45</v>
      </c>
    </row>
    <row r="21" spans="1:45" ht="18.75" x14ac:dyDescent="0.25">
      <c r="A21" s="8"/>
      <c r="B21" s="158"/>
      <c r="C21" s="159"/>
      <c r="D21" s="18">
        <v>12</v>
      </c>
      <c r="E21" s="162"/>
      <c r="F21" s="177"/>
      <c r="G21" s="152" t="s">
        <v>91</v>
      </c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2"/>
      <c r="V21" s="152"/>
      <c r="W21" s="153">
        <v>708</v>
      </c>
      <c r="X21" s="153"/>
      <c r="Y21" s="181"/>
      <c r="Z21" s="181"/>
      <c r="AA21" s="181"/>
      <c r="AB21" s="181"/>
      <c r="AC21" s="181"/>
      <c r="AD21" s="181"/>
      <c r="AE21" s="181"/>
      <c r="AF21" s="181"/>
      <c r="AG21" s="181"/>
      <c r="AH21" s="181"/>
      <c r="AI21" s="181"/>
      <c r="AJ21" s="181"/>
      <c r="AK21" s="181"/>
      <c r="AL21" s="181"/>
      <c r="AM21" s="181"/>
      <c r="AN21" s="155">
        <v>709</v>
      </c>
      <c r="AO21" s="155"/>
      <c r="AP21" s="151"/>
      <c r="AQ21" s="151"/>
      <c r="AR21" s="151"/>
      <c r="AS21" s="89" t="s">
        <v>45</v>
      </c>
    </row>
    <row r="22" spans="1:45" ht="18.75" x14ac:dyDescent="0.25">
      <c r="A22" s="8"/>
      <c r="B22" s="158"/>
      <c r="C22" s="159"/>
      <c r="D22" s="18">
        <v>13</v>
      </c>
      <c r="E22" s="162"/>
      <c r="F22" s="177"/>
      <c r="G22" s="152" t="s">
        <v>202</v>
      </c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2"/>
      <c r="W22" s="153">
        <v>733</v>
      </c>
      <c r="X22" s="153"/>
      <c r="Y22" s="181"/>
      <c r="Z22" s="181"/>
      <c r="AA22" s="181"/>
      <c r="AB22" s="181"/>
      <c r="AC22" s="181"/>
      <c r="AD22" s="181"/>
      <c r="AE22" s="181"/>
      <c r="AF22" s="181"/>
      <c r="AG22" s="181"/>
      <c r="AH22" s="181"/>
      <c r="AI22" s="181"/>
      <c r="AJ22" s="181"/>
      <c r="AK22" s="181"/>
      <c r="AL22" s="181"/>
      <c r="AM22" s="181"/>
      <c r="AN22" s="155">
        <v>734</v>
      </c>
      <c r="AO22" s="155"/>
      <c r="AP22" s="151"/>
      <c r="AQ22" s="151"/>
      <c r="AR22" s="151"/>
      <c r="AS22" s="89" t="s">
        <v>45</v>
      </c>
    </row>
    <row r="23" spans="1:45" ht="18.75" x14ac:dyDescent="0.25">
      <c r="A23" s="8"/>
      <c r="B23" s="158"/>
      <c r="C23" s="159"/>
      <c r="D23" s="18">
        <v>14</v>
      </c>
      <c r="E23" s="162"/>
      <c r="F23" s="177"/>
      <c r="G23" s="152" t="s">
        <v>92</v>
      </c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3">
        <v>516</v>
      </c>
      <c r="X23" s="153">
        <v>6</v>
      </c>
      <c r="Y23" s="181"/>
      <c r="Z23" s="181"/>
      <c r="AA23" s="181"/>
      <c r="AB23" s="181"/>
      <c r="AC23" s="181"/>
      <c r="AD23" s="181"/>
      <c r="AE23" s="181"/>
      <c r="AF23" s="181"/>
      <c r="AG23" s="181"/>
      <c r="AH23" s="181"/>
      <c r="AI23" s="181"/>
      <c r="AJ23" s="181"/>
      <c r="AK23" s="181"/>
      <c r="AL23" s="181"/>
      <c r="AM23" s="181"/>
      <c r="AN23" s="155">
        <v>517</v>
      </c>
      <c r="AO23" s="155"/>
      <c r="AP23" s="151"/>
      <c r="AQ23" s="151"/>
      <c r="AR23" s="151"/>
      <c r="AS23" s="89" t="s">
        <v>41</v>
      </c>
    </row>
    <row r="24" spans="1:45" ht="18.75" x14ac:dyDescent="0.25">
      <c r="A24" s="8"/>
      <c r="B24" s="158"/>
      <c r="C24" s="159"/>
      <c r="D24" s="18">
        <v>15</v>
      </c>
      <c r="E24" s="162"/>
      <c r="F24" s="177"/>
      <c r="G24" s="152" t="s">
        <v>203</v>
      </c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3">
        <v>500</v>
      </c>
      <c r="X24" s="153">
        <v>0</v>
      </c>
      <c r="Y24" s="181"/>
      <c r="Z24" s="181"/>
      <c r="AA24" s="181"/>
      <c r="AB24" s="181"/>
      <c r="AC24" s="181"/>
      <c r="AD24" s="181"/>
      <c r="AE24" s="181"/>
      <c r="AF24" s="181"/>
      <c r="AG24" s="181"/>
      <c r="AH24" s="181"/>
      <c r="AI24" s="181"/>
      <c r="AJ24" s="181"/>
      <c r="AK24" s="181"/>
      <c r="AL24" s="181"/>
      <c r="AM24" s="181"/>
      <c r="AN24" s="155">
        <v>501</v>
      </c>
      <c r="AO24" s="155"/>
      <c r="AP24" s="151"/>
      <c r="AQ24" s="151"/>
      <c r="AR24" s="151"/>
      <c r="AS24" s="89" t="s">
        <v>41</v>
      </c>
    </row>
    <row r="25" spans="1:45" ht="18.75" x14ac:dyDescent="0.25">
      <c r="A25" s="8"/>
      <c r="B25" s="158"/>
      <c r="C25" s="159"/>
      <c r="D25" s="18">
        <v>16</v>
      </c>
      <c r="E25" s="152" t="s">
        <v>93</v>
      </c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2"/>
      <c r="V25" s="152"/>
      <c r="W25" s="152"/>
      <c r="X25" s="152"/>
      <c r="Y25" s="152"/>
      <c r="Z25" s="152"/>
      <c r="AA25" s="152"/>
      <c r="AB25" s="152"/>
      <c r="AC25" s="152"/>
      <c r="AD25" s="152"/>
      <c r="AE25" s="152"/>
      <c r="AF25" s="152"/>
      <c r="AG25" s="152"/>
      <c r="AH25" s="152"/>
      <c r="AI25" s="152"/>
      <c r="AJ25" s="152"/>
      <c r="AK25" s="152"/>
      <c r="AL25" s="152"/>
      <c r="AM25" s="152"/>
      <c r="AN25" s="155">
        <v>154</v>
      </c>
      <c r="AO25" s="155"/>
      <c r="AP25" s="151"/>
      <c r="AQ25" s="151"/>
      <c r="AR25" s="151"/>
      <c r="AS25" s="89" t="s">
        <v>41</v>
      </c>
    </row>
    <row r="26" spans="1:45" ht="18.75" x14ac:dyDescent="0.25">
      <c r="A26" s="8"/>
      <c r="B26" s="158"/>
      <c r="C26" s="159"/>
      <c r="D26" s="18">
        <v>17</v>
      </c>
      <c r="E26" s="152" t="s">
        <v>94</v>
      </c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2"/>
      <c r="V26" s="152"/>
      <c r="W26" s="152"/>
      <c r="X26" s="152"/>
      <c r="Y26" s="152"/>
      <c r="Z26" s="152"/>
      <c r="AA26" s="152"/>
      <c r="AB26" s="152"/>
      <c r="AC26" s="152"/>
      <c r="AD26" s="152"/>
      <c r="AE26" s="152"/>
      <c r="AF26" s="152"/>
      <c r="AG26" s="152"/>
      <c r="AH26" s="152"/>
      <c r="AI26" s="152"/>
      <c r="AJ26" s="152"/>
      <c r="AK26" s="152"/>
      <c r="AL26" s="152"/>
      <c r="AM26" s="152"/>
      <c r="AN26" s="155">
        <v>518</v>
      </c>
      <c r="AO26" s="155"/>
      <c r="AP26" s="151"/>
      <c r="AQ26" s="151"/>
      <c r="AR26" s="151"/>
      <c r="AS26" s="89" t="s">
        <v>41</v>
      </c>
    </row>
    <row r="27" spans="1:45" ht="18.75" x14ac:dyDescent="0.25">
      <c r="A27" s="8"/>
      <c r="B27" s="158"/>
      <c r="C27" s="159"/>
      <c r="D27" s="18">
        <v>18</v>
      </c>
      <c r="E27" s="152" t="s">
        <v>204</v>
      </c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2"/>
      <c r="W27" s="152"/>
      <c r="X27" s="152"/>
      <c r="Y27" s="152"/>
      <c r="Z27" s="152"/>
      <c r="AA27" s="152"/>
      <c r="AB27" s="152"/>
      <c r="AC27" s="152"/>
      <c r="AD27" s="152"/>
      <c r="AE27" s="152"/>
      <c r="AF27" s="152"/>
      <c r="AG27" s="152"/>
      <c r="AH27" s="152"/>
      <c r="AI27" s="152"/>
      <c r="AJ27" s="152"/>
      <c r="AK27" s="152"/>
      <c r="AL27" s="152"/>
      <c r="AM27" s="152"/>
      <c r="AN27" s="155">
        <v>713</v>
      </c>
      <c r="AO27" s="155"/>
      <c r="AP27" s="151"/>
      <c r="AQ27" s="151"/>
      <c r="AR27" s="151"/>
      <c r="AS27" s="89" t="s">
        <v>41</v>
      </c>
    </row>
    <row r="28" spans="1:45" ht="18.75" x14ac:dyDescent="0.25">
      <c r="A28" s="8"/>
      <c r="B28" s="158"/>
      <c r="C28" s="159"/>
      <c r="D28" s="18">
        <v>19</v>
      </c>
      <c r="E28" s="44" t="s">
        <v>205</v>
      </c>
      <c r="F28" s="44"/>
      <c r="G28" s="44"/>
      <c r="H28" s="44"/>
      <c r="I28" s="44"/>
      <c r="J28" s="44"/>
      <c r="K28" s="44"/>
      <c r="L28" s="44" t="s">
        <v>206</v>
      </c>
      <c r="M28" s="194">
        <v>738</v>
      </c>
      <c r="N28" s="195"/>
      <c r="O28" s="196"/>
      <c r="P28" s="194"/>
      <c r="Q28" s="195"/>
      <c r="R28" s="195"/>
      <c r="S28" s="196"/>
      <c r="T28" s="44" t="s">
        <v>207</v>
      </c>
      <c r="U28" s="194">
        <v>739</v>
      </c>
      <c r="V28" s="196"/>
      <c r="W28" s="194"/>
      <c r="X28" s="195"/>
      <c r="Y28" s="195"/>
      <c r="Z28" s="195"/>
      <c r="AA28" s="195"/>
      <c r="AB28" s="196"/>
      <c r="AC28" s="44"/>
      <c r="AD28" s="44" t="s">
        <v>208</v>
      </c>
      <c r="AE28" s="44"/>
      <c r="AF28" s="44"/>
      <c r="AG28" s="44">
        <v>740</v>
      </c>
      <c r="AH28" s="194"/>
      <c r="AI28" s="195"/>
      <c r="AJ28" s="195"/>
      <c r="AK28" s="195"/>
      <c r="AL28" s="195"/>
      <c r="AM28" s="196"/>
      <c r="AN28" s="155">
        <v>741</v>
      </c>
      <c r="AO28" s="155"/>
      <c r="AP28" s="151"/>
      <c r="AQ28" s="151"/>
      <c r="AR28" s="151"/>
      <c r="AS28" s="89" t="s">
        <v>41</v>
      </c>
    </row>
    <row r="29" spans="1:45" ht="18.75" x14ac:dyDescent="0.25">
      <c r="A29" s="8"/>
      <c r="B29" s="160"/>
      <c r="C29" s="161"/>
      <c r="D29" s="18">
        <v>20</v>
      </c>
      <c r="E29" s="201" t="s">
        <v>95</v>
      </c>
      <c r="F29" s="201"/>
      <c r="G29" s="201"/>
      <c r="H29" s="201"/>
      <c r="I29" s="201"/>
      <c r="J29" s="201"/>
      <c r="K29" s="201"/>
      <c r="L29" s="201"/>
      <c r="M29" s="201"/>
      <c r="N29" s="201"/>
      <c r="O29" s="201"/>
      <c r="P29" s="201"/>
      <c r="Q29" s="201"/>
      <c r="R29" s="201"/>
      <c r="S29" s="201"/>
      <c r="T29" s="201"/>
      <c r="U29" s="201"/>
      <c r="V29" s="201"/>
      <c r="W29" s="201"/>
      <c r="X29" s="201"/>
      <c r="Y29" s="201"/>
      <c r="Z29" s="201"/>
      <c r="AA29" s="201"/>
      <c r="AB29" s="201"/>
      <c r="AC29" s="201"/>
      <c r="AD29" s="201"/>
      <c r="AE29" s="201"/>
      <c r="AF29" s="201"/>
      <c r="AG29" s="201"/>
      <c r="AH29" s="201"/>
      <c r="AI29" s="201"/>
      <c r="AJ29" s="201"/>
      <c r="AK29" s="201"/>
      <c r="AL29" s="201"/>
      <c r="AM29" s="201"/>
      <c r="AN29" s="202">
        <v>538</v>
      </c>
      <c r="AO29" s="202"/>
      <c r="AP29" s="203"/>
      <c r="AQ29" s="203"/>
      <c r="AR29" s="203"/>
      <c r="AS29" s="25" t="s">
        <v>46</v>
      </c>
    </row>
    <row r="30" spans="1:45" ht="10.5" customHeight="1" x14ac:dyDescent="0.25">
      <c r="A30" s="8"/>
      <c r="B30" s="9"/>
      <c r="C30" s="9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11"/>
      <c r="X30" s="11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19"/>
      <c r="AS30" s="9"/>
    </row>
    <row r="31" spans="1:45" ht="15.75" x14ac:dyDescent="0.25">
      <c r="A31" s="8"/>
      <c r="B31" s="182" t="s">
        <v>96</v>
      </c>
      <c r="C31" s="183"/>
      <c r="D31" s="188" t="s">
        <v>32</v>
      </c>
      <c r="E31" s="189"/>
      <c r="F31" s="189"/>
      <c r="G31" s="189"/>
      <c r="H31" s="189"/>
      <c r="I31" s="189"/>
      <c r="J31" s="189"/>
      <c r="K31" s="189"/>
      <c r="L31" s="189"/>
      <c r="M31" s="189"/>
      <c r="N31" s="189"/>
      <c r="O31" s="189"/>
      <c r="P31" s="189"/>
      <c r="Q31" s="189"/>
      <c r="R31" s="189"/>
      <c r="S31" s="189"/>
      <c r="T31" s="189"/>
      <c r="U31" s="189"/>
      <c r="V31" s="190"/>
      <c r="W31" s="188" t="s">
        <v>47</v>
      </c>
      <c r="X31" s="189"/>
      <c r="Y31" s="189"/>
      <c r="Z31" s="189"/>
      <c r="AA31" s="189"/>
      <c r="AB31" s="189"/>
      <c r="AC31" s="189"/>
      <c r="AD31" s="189"/>
      <c r="AE31" s="189"/>
      <c r="AF31" s="189"/>
      <c r="AG31" s="189"/>
      <c r="AH31" s="189"/>
      <c r="AI31" s="189"/>
      <c r="AJ31" s="189"/>
      <c r="AK31" s="189"/>
      <c r="AL31" s="189"/>
      <c r="AM31" s="190"/>
      <c r="AN31" s="188" t="s">
        <v>48</v>
      </c>
      <c r="AO31" s="189"/>
      <c r="AP31" s="189"/>
      <c r="AQ31" s="189"/>
      <c r="AR31" s="189"/>
      <c r="AS31" s="190"/>
    </row>
    <row r="32" spans="1:45" ht="18" x14ac:dyDescent="0.25">
      <c r="A32" s="8"/>
      <c r="B32" s="184"/>
      <c r="C32" s="185"/>
      <c r="D32" s="18">
        <v>21</v>
      </c>
      <c r="E32" s="191" t="s">
        <v>49</v>
      </c>
      <c r="F32" s="164" t="s">
        <v>97</v>
      </c>
      <c r="G32" s="165"/>
      <c r="H32" s="165"/>
      <c r="I32" s="165"/>
      <c r="J32" s="165"/>
      <c r="K32" s="165"/>
      <c r="L32" s="165"/>
      <c r="M32" s="165"/>
      <c r="N32" s="165"/>
      <c r="O32" s="165"/>
      <c r="P32" s="165"/>
      <c r="Q32" s="165"/>
      <c r="R32" s="165"/>
      <c r="S32" s="165"/>
      <c r="T32" s="165"/>
      <c r="U32" s="165"/>
      <c r="V32" s="166"/>
      <c r="W32" s="153">
        <v>511</v>
      </c>
      <c r="X32" s="153"/>
      <c r="Y32" s="197"/>
      <c r="Z32" s="197"/>
      <c r="AA32" s="197"/>
      <c r="AB32" s="197"/>
      <c r="AC32" s="197"/>
      <c r="AD32" s="197"/>
      <c r="AE32" s="197"/>
      <c r="AF32" s="197"/>
      <c r="AG32" s="197"/>
      <c r="AH32" s="197"/>
      <c r="AI32" s="197"/>
      <c r="AJ32" s="197"/>
      <c r="AK32" s="197"/>
      <c r="AL32" s="197"/>
      <c r="AM32" s="197"/>
      <c r="AN32" s="155">
        <v>514</v>
      </c>
      <c r="AO32" s="155"/>
      <c r="AP32" s="151"/>
      <c r="AQ32" s="151"/>
      <c r="AR32" s="151"/>
      <c r="AS32" s="23"/>
    </row>
    <row r="33" spans="1:45" ht="15.75" x14ac:dyDescent="0.25">
      <c r="A33" s="8"/>
      <c r="B33" s="184"/>
      <c r="C33" s="185"/>
      <c r="D33" s="18"/>
      <c r="E33" s="192"/>
      <c r="F33" s="198"/>
      <c r="G33" s="199"/>
      <c r="H33" s="199"/>
      <c r="I33" s="199"/>
      <c r="J33" s="199"/>
      <c r="K33" s="199"/>
      <c r="L33" s="199"/>
      <c r="M33" s="199"/>
      <c r="N33" s="199"/>
      <c r="O33" s="199"/>
      <c r="P33" s="199"/>
      <c r="Q33" s="199"/>
      <c r="R33" s="199"/>
      <c r="S33" s="199"/>
      <c r="T33" s="199"/>
      <c r="U33" s="199"/>
      <c r="V33" s="200"/>
      <c r="W33" s="188" t="s">
        <v>33</v>
      </c>
      <c r="X33" s="189"/>
      <c r="Y33" s="189"/>
      <c r="Z33" s="189"/>
      <c r="AA33" s="189"/>
      <c r="AB33" s="189"/>
      <c r="AC33" s="189"/>
      <c r="AD33" s="189"/>
      <c r="AE33" s="189"/>
      <c r="AF33" s="189"/>
      <c r="AG33" s="189"/>
      <c r="AH33" s="189"/>
      <c r="AI33" s="189"/>
      <c r="AJ33" s="189"/>
      <c r="AK33" s="189"/>
      <c r="AL33" s="189"/>
      <c r="AM33" s="190"/>
      <c r="AN33" s="188" t="s">
        <v>34</v>
      </c>
      <c r="AO33" s="189"/>
      <c r="AP33" s="189"/>
      <c r="AQ33" s="189"/>
      <c r="AR33" s="189"/>
      <c r="AS33" s="190"/>
    </row>
    <row r="34" spans="1:45" ht="18" x14ac:dyDescent="0.25">
      <c r="A34" s="8"/>
      <c r="B34" s="184"/>
      <c r="C34" s="185"/>
      <c r="D34" s="18">
        <v>22</v>
      </c>
      <c r="E34" s="192"/>
      <c r="F34" s="204" t="s">
        <v>98</v>
      </c>
      <c r="G34" s="204"/>
      <c r="H34" s="164" t="s">
        <v>99</v>
      </c>
      <c r="I34" s="165"/>
      <c r="J34" s="165"/>
      <c r="K34" s="165"/>
      <c r="L34" s="165"/>
      <c r="M34" s="165"/>
      <c r="N34" s="165"/>
      <c r="O34" s="165"/>
      <c r="P34" s="165"/>
      <c r="Q34" s="165"/>
      <c r="R34" s="165"/>
      <c r="S34" s="165"/>
      <c r="T34" s="165"/>
      <c r="U34" s="165"/>
      <c r="V34" s="166"/>
      <c r="W34" s="153">
        <v>564</v>
      </c>
      <c r="X34" s="153"/>
      <c r="Y34" s="178"/>
      <c r="Z34" s="179"/>
      <c r="AA34" s="179"/>
      <c r="AB34" s="179"/>
      <c r="AC34" s="179"/>
      <c r="AD34" s="179"/>
      <c r="AE34" s="179"/>
      <c r="AF34" s="179"/>
      <c r="AG34" s="179"/>
      <c r="AH34" s="179"/>
      <c r="AI34" s="179"/>
      <c r="AJ34" s="179"/>
      <c r="AK34" s="179"/>
      <c r="AL34" s="179"/>
      <c r="AM34" s="180"/>
      <c r="AN34" s="155">
        <v>521</v>
      </c>
      <c r="AO34" s="155"/>
      <c r="AP34" s="151"/>
      <c r="AQ34" s="151"/>
      <c r="AR34" s="151"/>
      <c r="AS34" s="18"/>
    </row>
    <row r="35" spans="1:45" ht="18" x14ac:dyDescent="0.25">
      <c r="A35" s="8"/>
      <c r="B35" s="184"/>
      <c r="C35" s="185"/>
      <c r="D35" s="18">
        <v>23</v>
      </c>
      <c r="E35" s="192"/>
      <c r="F35" s="204"/>
      <c r="G35" s="204"/>
      <c r="H35" s="164" t="s">
        <v>100</v>
      </c>
      <c r="I35" s="165"/>
      <c r="J35" s="165"/>
      <c r="K35" s="165"/>
      <c r="L35" s="165"/>
      <c r="M35" s="165"/>
      <c r="N35" s="165"/>
      <c r="O35" s="165"/>
      <c r="P35" s="165"/>
      <c r="Q35" s="165"/>
      <c r="R35" s="165"/>
      <c r="S35" s="165"/>
      <c r="T35" s="165"/>
      <c r="U35" s="165"/>
      <c r="V35" s="166"/>
      <c r="W35" s="153">
        <v>566</v>
      </c>
      <c r="X35" s="153"/>
      <c r="Y35" s="178"/>
      <c r="Z35" s="179"/>
      <c r="AA35" s="179"/>
      <c r="AB35" s="179"/>
      <c r="AC35" s="179"/>
      <c r="AD35" s="179"/>
      <c r="AE35" s="179"/>
      <c r="AF35" s="179"/>
      <c r="AG35" s="179"/>
      <c r="AH35" s="179"/>
      <c r="AI35" s="179"/>
      <c r="AJ35" s="179"/>
      <c r="AK35" s="179"/>
      <c r="AL35" s="179"/>
      <c r="AM35" s="180"/>
      <c r="AN35" s="155">
        <v>560</v>
      </c>
      <c r="AO35" s="155"/>
      <c r="AP35" s="151"/>
      <c r="AQ35" s="151"/>
      <c r="AR35" s="151"/>
      <c r="AS35" s="18"/>
    </row>
    <row r="36" spans="1:45" ht="18" x14ac:dyDescent="0.25">
      <c r="A36" s="8"/>
      <c r="B36" s="184"/>
      <c r="C36" s="185"/>
      <c r="D36" s="18">
        <v>24</v>
      </c>
      <c r="E36" s="192"/>
      <c r="F36" s="204"/>
      <c r="G36" s="204"/>
      <c r="H36" s="164" t="s">
        <v>50</v>
      </c>
      <c r="I36" s="165"/>
      <c r="J36" s="165"/>
      <c r="K36" s="165"/>
      <c r="L36" s="165"/>
      <c r="M36" s="165"/>
      <c r="N36" s="165"/>
      <c r="O36" s="165"/>
      <c r="P36" s="165"/>
      <c r="Q36" s="165"/>
      <c r="R36" s="165"/>
      <c r="S36" s="165"/>
      <c r="T36" s="165"/>
      <c r="U36" s="165"/>
      <c r="V36" s="166"/>
      <c r="W36" s="153">
        <v>584</v>
      </c>
      <c r="X36" s="153"/>
      <c r="Y36" s="178"/>
      <c r="Z36" s="179"/>
      <c r="AA36" s="179"/>
      <c r="AB36" s="179"/>
      <c r="AC36" s="179"/>
      <c r="AD36" s="179"/>
      <c r="AE36" s="179"/>
      <c r="AF36" s="179"/>
      <c r="AG36" s="179"/>
      <c r="AH36" s="179"/>
      <c r="AI36" s="179"/>
      <c r="AJ36" s="179"/>
      <c r="AK36" s="179"/>
      <c r="AL36" s="179"/>
      <c r="AM36" s="180"/>
      <c r="AN36" s="155">
        <v>562</v>
      </c>
      <c r="AO36" s="155"/>
      <c r="AP36" s="151"/>
      <c r="AQ36" s="151"/>
      <c r="AR36" s="151"/>
      <c r="AS36" s="18"/>
    </row>
    <row r="37" spans="1:45" ht="15.75" x14ac:dyDescent="0.25">
      <c r="A37" s="8"/>
      <c r="B37" s="184"/>
      <c r="C37" s="185"/>
      <c r="D37" s="18"/>
      <c r="E37" s="192"/>
      <c r="F37" s="198"/>
      <c r="G37" s="199"/>
      <c r="H37" s="199"/>
      <c r="I37" s="199"/>
      <c r="J37" s="199"/>
      <c r="K37" s="199"/>
      <c r="L37" s="199"/>
      <c r="M37" s="199"/>
      <c r="N37" s="199"/>
      <c r="O37" s="199"/>
      <c r="P37" s="199"/>
      <c r="Q37" s="199"/>
      <c r="R37" s="199"/>
      <c r="S37" s="199"/>
      <c r="T37" s="199"/>
      <c r="U37" s="199"/>
      <c r="V37" s="200"/>
      <c r="W37" s="188" t="s">
        <v>33</v>
      </c>
      <c r="X37" s="189"/>
      <c r="Y37" s="189"/>
      <c r="Z37" s="189"/>
      <c r="AA37" s="189"/>
      <c r="AB37" s="189"/>
      <c r="AC37" s="189"/>
      <c r="AD37" s="189"/>
      <c r="AE37" s="189"/>
      <c r="AF37" s="189"/>
      <c r="AG37" s="189"/>
      <c r="AH37" s="189"/>
      <c r="AI37" s="189"/>
      <c r="AJ37" s="189"/>
      <c r="AK37" s="189"/>
      <c r="AL37" s="189"/>
      <c r="AM37" s="190"/>
      <c r="AN37" s="188" t="s">
        <v>51</v>
      </c>
      <c r="AO37" s="189"/>
      <c r="AP37" s="189"/>
      <c r="AQ37" s="189"/>
      <c r="AR37" s="189"/>
      <c r="AS37" s="190"/>
    </row>
    <row r="38" spans="1:45" ht="18.75" x14ac:dyDescent="0.25">
      <c r="A38" s="8"/>
      <c r="B38" s="184"/>
      <c r="C38" s="185"/>
      <c r="D38" s="18">
        <v>25</v>
      </c>
      <c r="E38" s="192"/>
      <c r="F38" s="206" t="s">
        <v>101</v>
      </c>
      <c r="G38" s="209" t="s">
        <v>52</v>
      </c>
      <c r="H38" s="164" t="s">
        <v>102</v>
      </c>
      <c r="I38" s="165"/>
      <c r="J38" s="165"/>
      <c r="K38" s="165"/>
      <c r="L38" s="165"/>
      <c r="M38" s="165"/>
      <c r="N38" s="165"/>
      <c r="O38" s="165"/>
      <c r="P38" s="165"/>
      <c r="Q38" s="165"/>
      <c r="R38" s="165"/>
      <c r="S38" s="165"/>
      <c r="T38" s="165"/>
      <c r="U38" s="165"/>
      <c r="V38" s="166"/>
      <c r="W38" s="153">
        <v>519</v>
      </c>
      <c r="X38" s="153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81"/>
      <c r="AJ38" s="181"/>
      <c r="AK38" s="181"/>
      <c r="AL38" s="181"/>
      <c r="AM38" s="181"/>
      <c r="AN38" s="155">
        <v>520</v>
      </c>
      <c r="AO38" s="155"/>
      <c r="AP38" s="151"/>
      <c r="AQ38" s="151"/>
      <c r="AR38" s="151"/>
      <c r="AS38" s="89" t="s">
        <v>41</v>
      </c>
    </row>
    <row r="39" spans="1:45" ht="18.75" x14ac:dyDescent="0.25">
      <c r="A39" s="8"/>
      <c r="B39" s="184"/>
      <c r="C39" s="185"/>
      <c r="D39" s="18">
        <v>26</v>
      </c>
      <c r="E39" s="192"/>
      <c r="F39" s="207"/>
      <c r="G39" s="209"/>
      <c r="H39" s="212" t="s">
        <v>53</v>
      </c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4"/>
      <c r="W39" s="153">
        <v>524</v>
      </c>
      <c r="X39" s="153"/>
      <c r="Y39" s="215"/>
      <c r="Z39" s="215"/>
      <c r="AA39" s="215"/>
      <c r="AB39" s="215"/>
      <c r="AC39" s="215"/>
      <c r="AD39" s="215"/>
      <c r="AE39" s="215"/>
      <c r="AF39" s="215"/>
      <c r="AG39" s="215"/>
      <c r="AH39" s="215"/>
      <c r="AI39" s="215"/>
      <c r="AJ39" s="215"/>
      <c r="AK39" s="215"/>
      <c r="AL39" s="215"/>
      <c r="AM39" s="215"/>
      <c r="AN39" s="155">
        <v>525</v>
      </c>
      <c r="AO39" s="155"/>
      <c r="AP39" s="205"/>
      <c r="AQ39" s="205"/>
      <c r="AR39" s="205"/>
      <c r="AS39" s="89" t="s">
        <v>41</v>
      </c>
    </row>
    <row r="40" spans="1:45" ht="18.75" x14ac:dyDescent="0.25">
      <c r="A40" s="8"/>
      <c r="B40" s="184"/>
      <c r="C40" s="185"/>
      <c r="D40" s="18">
        <v>27</v>
      </c>
      <c r="E40" s="192"/>
      <c r="F40" s="207"/>
      <c r="G40" s="209"/>
      <c r="H40" s="164" t="s">
        <v>54</v>
      </c>
      <c r="I40" s="165"/>
      <c r="J40" s="165"/>
      <c r="K40" s="165"/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6"/>
      <c r="W40" s="153">
        <v>527</v>
      </c>
      <c r="X40" s="153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81"/>
      <c r="AJ40" s="181"/>
      <c r="AK40" s="181"/>
      <c r="AL40" s="181"/>
      <c r="AM40" s="181"/>
      <c r="AN40" s="155">
        <v>528</v>
      </c>
      <c r="AO40" s="155"/>
      <c r="AP40" s="151"/>
      <c r="AQ40" s="151"/>
      <c r="AR40" s="151"/>
      <c r="AS40" s="89" t="s">
        <v>45</v>
      </c>
    </row>
    <row r="41" spans="1:45" ht="18.75" x14ac:dyDescent="0.25">
      <c r="A41" s="8"/>
      <c r="B41" s="184"/>
      <c r="C41" s="185"/>
      <c r="D41" s="18">
        <v>28</v>
      </c>
      <c r="E41" s="192"/>
      <c r="F41" s="207"/>
      <c r="G41" s="209"/>
      <c r="H41" s="212" t="s">
        <v>55</v>
      </c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4"/>
      <c r="W41" s="153">
        <v>531</v>
      </c>
      <c r="X41" s="153"/>
      <c r="Y41" s="215"/>
      <c r="Z41" s="215"/>
      <c r="AA41" s="215"/>
      <c r="AB41" s="215"/>
      <c r="AC41" s="215"/>
      <c r="AD41" s="215"/>
      <c r="AE41" s="215"/>
      <c r="AF41" s="215"/>
      <c r="AG41" s="215"/>
      <c r="AH41" s="215"/>
      <c r="AI41" s="215"/>
      <c r="AJ41" s="215"/>
      <c r="AK41" s="215"/>
      <c r="AL41" s="215"/>
      <c r="AM41" s="215"/>
      <c r="AN41" s="155">
        <v>532</v>
      </c>
      <c r="AO41" s="155"/>
      <c r="AP41" s="151"/>
      <c r="AQ41" s="151"/>
      <c r="AR41" s="151"/>
      <c r="AS41" s="89" t="s">
        <v>41</v>
      </c>
    </row>
    <row r="42" spans="1:45" ht="18.75" x14ac:dyDescent="0.25">
      <c r="A42" s="8"/>
      <c r="B42" s="184"/>
      <c r="C42" s="185"/>
      <c r="D42" s="18">
        <v>29</v>
      </c>
      <c r="E42" s="192"/>
      <c r="F42" s="207"/>
      <c r="G42" s="210" t="s">
        <v>103</v>
      </c>
      <c r="H42" s="164" t="s">
        <v>209</v>
      </c>
      <c r="I42" s="165"/>
      <c r="J42" s="165"/>
      <c r="K42" s="165"/>
      <c r="L42" s="165"/>
      <c r="M42" s="165"/>
      <c r="N42" s="165"/>
      <c r="O42" s="165"/>
      <c r="P42" s="165"/>
      <c r="Q42" s="165"/>
      <c r="R42" s="165"/>
      <c r="S42" s="165"/>
      <c r="T42" s="165"/>
      <c r="U42" s="165"/>
      <c r="V42" s="166"/>
      <c r="W42" s="153">
        <v>534</v>
      </c>
      <c r="X42" s="153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81"/>
      <c r="AJ42" s="181"/>
      <c r="AK42" s="181"/>
      <c r="AL42" s="181"/>
      <c r="AM42" s="181"/>
      <c r="AN42" s="155">
        <v>535</v>
      </c>
      <c r="AO42" s="155"/>
      <c r="AP42" s="151"/>
      <c r="AQ42" s="151"/>
      <c r="AR42" s="151"/>
      <c r="AS42" s="89" t="s">
        <v>41</v>
      </c>
    </row>
    <row r="43" spans="1:45" ht="18.75" x14ac:dyDescent="0.25">
      <c r="A43" s="8"/>
      <c r="B43" s="184"/>
      <c r="C43" s="185"/>
      <c r="D43" s="18">
        <v>30</v>
      </c>
      <c r="E43" s="193"/>
      <c r="F43" s="208"/>
      <c r="G43" s="211"/>
      <c r="H43" s="164" t="s">
        <v>210</v>
      </c>
      <c r="I43" s="165"/>
      <c r="J43" s="165"/>
      <c r="K43" s="165"/>
      <c r="L43" s="165"/>
      <c r="M43" s="165"/>
      <c r="N43" s="165"/>
      <c r="O43" s="165"/>
      <c r="P43" s="165"/>
      <c r="Q43" s="165"/>
      <c r="R43" s="165"/>
      <c r="S43" s="165"/>
      <c r="T43" s="165"/>
      <c r="U43" s="165"/>
      <c r="V43" s="166"/>
      <c r="W43" s="153">
        <v>536</v>
      </c>
      <c r="X43" s="153"/>
      <c r="Y43" s="181"/>
      <c r="Z43" s="181"/>
      <c r="AA43" s="181"/>
      <c r="AB43" s="181"/>
      <c r="AC43" s="181"/>
      <c r="AD43" s="181"/>
      <c r="AE43" s="181"/>
      <c r="AF43" s="181"/>
      <c r="AG43" s="181"/>
      <c r="AH43" s="181"/>
      <c r="AI43" s="181"/>
      <c r="AJ43" s="181"/>
      <c r="AK43" s="181"/>
      <c r="AL43" s="181"/>
      <c r="AM43" s="181"/>
      <c r="AN43" s="155">
        <v>553</v>
      </c>
      <c r="AO43" s="155"/>
      <c r="AP43" s="151"/>
      <c r="AQ43" s="151"/>
      <c r="AR43" s="151"/>
      <c r="AS43" s="89" t="s">
        <v>41</v>
      </c>
    </row>
    <row r="44" spans="1:45" ht="18.75" x14ac:dyDescent="0.25">
      <c r="A44" s="8"/>
      <c r="B44" s="184"/>
      <c r="C44" s="185"/>
      <c r="D44" s="41">
        <v>31</v>
      </c>
      <c r="E44" s="212" t="s">
        <v>104</v>
      </c>
      <c r="F44" s="213"/>
      <c r="G44" s="213"/>
      <c r="H44" s="213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Y44" s="213"/>
      <c r="Z44" s="213"/>
      <c r="AA44" s="213"/>
      <c r="AB44" s="213"/>
      <c r="AC44" s="213"/>
      <c r="AD44" s="213"/>
      <c r="AE44" s="213"/>
      <c r="AF44" s="213"/>
      <c r="AG44" s="213"/>
      <c r="AH44" s="213"/>
      <c r="AI44" s="213"/>
      <c r="AJ44" s="213"/>
      <c r="AK44" s="213"/>
      <c r="AL44" s="213"/>
      <c r="AM44" s="214"/>
      <c r="AN44" s="155">
        <v>504</v>
      </c>
      <c r="AO44" s="155"/>
      <c r="AP44" s="151"/>
      <c r="AQ44" s="151"/>
      <c r="AR44" s="151"/>
      <c r="AS44" s="89" t="s">
        <v>41</v>
      </c>
    </row>
    <row r="45" spans="1:45" ht="18.75" x14ac:dyDescent="0.25">
      <c r="A45" s="8"/>
      <c r="B45" s="184"/>
      <c r="C45" s="185"/>
      <c r="D45" s="18">
        <v>32</v>
      </c>
      <c r="E45" s="164" t="s">
        <v>105</v>
      </c>
      <c r="F45" s="165"/>
      <c r="G45" s="165"/>
      <c r="H45" s="165"/>
      <c r="I45" s="165"/>
      <c r="J45" s="165"/>
      <c r="K45" s="165"/>
      <c r="L45" s="165"/>
      <c r="M45" s="165"/>
      <c r="N45" s="165"/>
      <c r="O45" s="165"/>
      <c r="P45" s="165"/>
      <c r="Q45" s="165"/>
      <c r="R45" s="165"/>
      <c r="S45" s="165"/>
      <c r="T45" s="165"/>
      <c r="U45" s="165"/>
      <c r="V45" s="165"/>
      <c r="W45" s="165"/>
      <c r="X45" s="165"/>
      <c r="Y45" s="165"/>
      <c r="Z45" s="165"/>
      <c r="AA45" s="165"/>
      <c r="AB45" s="165"/>
      <c r="AC45" s="165"/>
      <c r="AD45" s="165"/>
      <c r="AE45" s="165"/>
      <c r="AF45" s="165"/>
      <c r="AG45" s="165"/>
      <c r="AH45" s="165"/>
      <c r="AI45" s="165"/>
      <c r="AJ45" s="165"/>
      <c r="AK45" s="165"/>
      <c r="AL45" s="165"/>
      <c r="AM45" s="166"/>
      <c r="AN45" s="155">
        <v>593</v>
      </c>
      <c r="AO45" s="155"/>
      <c r="AP45" s="151"/>
      <c r="AQ45" s="151"/>
      <c r="AR45" s="151"/>
      <c r="AS45" s="89" t="s">
        <v>45</v>
      </c>
    </row>
    <row r="46" spans="1:45" ht="18.75" x14ac:dyDescent="0.25">
      <c r="A46" s="8"/>
      <c r="B46" s="184"/>
      <c r="C46" s="185"/>
      <c r="D46" s="18">
        <v>33</v>
      </c>
      <c r="E46" s="164" t="s">
        <v>106</v>
      </c>
      <c r="F46" s="165"/>
      <c r="G46" s="165"/>
      <c r="H46" s="165"/>
      <c r="I46" s="165"/>
      <c r="J46" s="165"/>
      <c r="K46" s="165"/>
      <c r="L46" s="165"/>
      <c r="M46" s="165"/>
      <c r="N46" s="165"/>
      <c r="O46" s="165"/>
      <c r="P46" s="165"/>
      <c r="Q46" s="165"/>
      <c r="R46" s="165"/>
      <c r="S46" s="165"/>
      <c r="T46" s="165"/>
      <c r="U46" s="165"/>
      <c r="V46" s="165"/>
      <c r="W46" s="165"/>
      <c r="X46" s="165"/>
      <c r="Y46" s="165"/>
      <c r="Z46" s="165"/>
      <c r="AA46" s="165"/>
      <c r="AB46" s="165"/>
      <c r="AC46" s="165"/>
      <c r="AD46" s="165"/>
      <c r="AE46" s="165"/>
      <c r="AF46" s="165"/>
      <c r="AG46" s="165"/>
      <c r="AH46" s="165"/>
      <c r="AI46" s="165"/>
      <c r="AJ46" s="165"/>
      <c r="AK46" s="165"/>
      <c r="AL46" s="165"/>
      <c r="AM46" s="166"/>
      <c r="AN46" s="155">
        <v>594</v>
      </c>
      <c r="AO46" s="155"/>
      <c r="AP46" s="151"/>
      <c r="AQ46" s="151"/>
      <c r="AR46" s="151"/>
      <c r="AS46" s="89" t="s">
        <v>45</v>
      </c>
    </row>
    <row r="47" spans="1:45" ht="18.75" x14ac:dyDescent="0.25">
      <c r="A47" s="8"/>
      <c r="B47" s="184"/>
      <c r="C47" s="185"/>
      <c r="D47" s="18">
        <v>34</v>
      </c>
      <c r="E47" s="164" t="s">
        <v>56</v>
      </c>
      <c r="F47" s="165"/>
      <c r="G47" s="165"/>
      <c r="H47" s="165"/>
      <c r="I47" s="165"/>
      <c r="J47" s="165"/>
      <c r="K47" s="165"/>
      <c r="L47" s="165"/>
      <c r="M47" s="165"/>
      <c r="N47" s="165"/>
      <c r="O47" s="165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5"/>
      <c r="AA47" s="165"/>
      <c r="AB47" s="165"/>
      <c r="AC47" s="165"/>
      <c r="AD47" s="165"/>
      <c r="AE47" s="165"/>
      <c r="AF47" s="165"/>
      <c r="AG47" s="165"/>
      <c r="AH47" s="165"/>
      <c r="AI47" s="165"/>
      <c r="AJ47" s="165"/>
      <c r="AK47" s="165"/>
      <c r="AL47" s="165"/>
      <c r="AM47" s="166"/>
      <c r="AN47" s="155">
        <v>592</v>
      </c>
      <c r="AO47" s="155"/>
      <c r="AP47" s="151"/>
      <c r="AQ47" s="151"/>
      <c r="AR47" s="151"/>
      <c r="AS47" s="89" t="s">
        <v>45</v>
      </c>
    </row>
    <row r="48" spans="1:45" ht="18.75" x14ac:dyDescent="0.25">
      <c r="A48" s="8"/>
      <c r="B48" s="184"/>
      <c r="C48" s="185"/>
      <c r="D48" s="18">
        <v>35</v>
      </c>
      <c r="E48" s="164" t="s">
        <v>107</v>
      </c>
      <c r="F48" s="165"/>
      <c r="G48" s="165"/>
      <c r="H48" s="165"/>
      <c r="I48" s="165"/>
      <c r="J48" s="165"/>
      <c r="K48" s="165"/>
      <c r="L48" s="165"/>
      <c r="M48" s="165"/>
      <c r="N48" s="165"/>
      <c r="O48" s="165"/>
      <c r="P48" s="165"/>
      <c r="Q48" s="165"/>
      <c r="R48" s="165"/>
      <c r="S48" s="165"/>
      <c r="T48" s="165"/>
      <c r="U48" s="165"/>
      <c r="V48" s="165"/>
      <c r="W48" s="165"/>
      <c r="X48" s="165"/>
      <c r="Y48" s="165"/>
      <c r="Z48" s="165"/>
      <c r="AA48" s="165"/>
      <c r="AB48" s="165"/>
      <c r="AC48" s="165"/>
      <c r="AD48" s="165"/>
      <c r="AE48" s="165"/>
      <c r="AF48" s="165"/>
      <c r="AG48" s="165"/>
      <c r="AH48" s="165"/>
      <c r="AI48" s="165"/>
      <c r="AJ48" s="165"/>
      <c r="AK48" s="165"/>
      <c r="AL48" s="165"/>
      <c r="AM48" s="166"/>
      <c r="AN48" s="155">
        <v>539</v>
      </c>
      <c r="AO48" s="155"/>
      <c r="AP48" s="151"/>
      <c r="AQ48" s="151"/>
      <c r="AR48" s="151"/>
      <c r="AS48" s="89" t="s">
        <v>45</v>
      </c>
    </row>
    <row r="49" spans="1:45" ht="18.75" x14ac:dyDescent="0.25">
      <c r="A49" s="8"/>
      <c r="B49" s="184"/>
      <c r="C49" s="185"/>
      <c r="D49" s="18">
        <v>36</v>
      </c>
      <c r="E49" s="164" t="s">
        <v>211</v>
      </c>
      <c r="F49" s="165"/>
      <c r="G49" s="165"/>
      <c r="H49" s="165"/>
      <c r="I49" s="165"/>
      <c r="J49" s="165"/>
      <c r="K49" s="165"/>
      <c r="L49" s="165"/>
      <c r="M49" s="165"/>
      <c r="N49" s="165"/>
      <c r="O49" s="165"/>
      <c r="P49" s="165"/>
      <c r="Q49" s="165"/>
      <c r="R49" s="165"/>
      <c r="S49" s="165"/>
      <c r="T49" s="165"/>
      <c r="U49" s="165"/>
      <c r="V49" s="165"/>
      <c r="W49" s="165"/>
      <c r="X49" s="165"/>
      <c r="Y49" s="165"/>
      <c r="Z49" s="165"/>
      <c r="AA49" s="165"/>
      <c r="AB49" s="165"/>
      <c r="AC49" s="165"/>
      <c r="AD49" s="165"/>
      <c r="AE49" s="165"/>
      <c r="AF49" s="165"/>
      <c r="AG49" s="165"/>
      <c r="AH49" s="165"/>
      <c r="AI49" s="165"/>
      <c r="AJ49" s="165"/>
      <c r="AK49" s="165"/>
      <c r="AL49" s="165"/>
      <c r="AM49" s="166"/>
      <c r="AN49" s="155">
        <v>718</v>
      </c>
      <c r="AO49" s="155"/>
      <c r="AP49" s="151"/>
      <c r="AQ49" s="151"/>
      <c r="AR49" s="151"/>
      <c r="AS49" s="89" t="s">
        <v>45</v>
      </c>
    </row>
    <row r="50" spans="1:45" ht="18.75" x14ac:dyDescent="0.25">
      <c r="A50" s="8"/>
      <c r="B50" s="184"/>
      <c r="C50" s="185"/>
      <c r="D50" s="18">
        <v>37</v>
      </c>
      <c r="E50" s="164" t="s">
        <v>57</v>
      </c>
      <c r="F50" s="165"/>
      <c r="G50" s="165"/>
      <c r="H50" s="165"/>
      <c r="I50" s="165"/>
      <c r="J50" s="165"/>
      <c r="K50" s="165"/>
      <c r="L50" s="165"/>
      <c r="M50" s="165"/>
      <c r="N50" s="165"/>
      <c r="O50" s="165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5"/>
      <c r="AA50" s="165"/>
      <c r="AB50" s="165"/>
      <c r="AC50" s="165"/>
      <c r="AD50" s="165"/>
      <c r="AE50" s="165"/>
      <c r="AF50" s="165"/>
      <c r="AG50" s="165"/>
      <c r="AH50" s="165"/>
      <c r="AI50" s="165"/>
      <c r="AJ50" s="165"/>
      <c r="AK50" s="165"/>
      <c r="AL50" s="165"/>
      <c r="AM50" s="166"/>
      <c r="AN50" s="155">
        <v>164</v>
      </c>
      <c r="AO50" s="155"/>
      <c r="AP50" s="151"/>
      <c r="AQ50" s="151"/>
      <c r="AR50" s="151"/>
      <c r="AS50" s="89" t="s">
        <v>41</v>
      </c>
    </row>
    <row r="51" spans="1:45" ht="18.75" x14ac:dyDescent="0.25">
      <c r="A51" s="8"/>
      <c r="B51" s="184"/>
      <c r="C51" s="185"/>
      <c r="D51" s="41"/>
      <c r="R51" s="216" t="s">
        <v>212</v>
      </c>
      <c r="S51" s="217"/>
      <c r="T51" s="217"/>
      <c r="U51" s="217"/>
      <c r="V51" s="217"/>
      <c r="W51" s="217"/>
      <c r="X51" s="217"/>
      <c r="Y51" s="217"/>
      <c r="Z51" s="218"/>
      <c r="AC51" s="216" t="s">
        <v>213</v>
      </c>
      <c r="AD51" s="217"/>
      <c r="AE51" s="217"/>
      <c r="AF51" s="217"/>
      <c r="AG51" s="217"/>
      <c r="AH51" s="217"/>
      <c r="AI51" s="217"/>
      <c r="AJ51" s="217"/>
      <c r="AK51" s="217"/>
      <c r="AL51" s="217"/>
      <c r="AM51" s="218"/>
      <c r="AN51" s="155"/>
      <c r="AO51" s="155"/>
      <c r="AP51" s="151"/>
      <c r="AQ51" s="151"/>
      <c r="AR51" s="151"/>
      <c r="AS51" s="89"/>
    </row>
    <row r="52" spans="1:45" ht="27.75" customHeight="1" x14ac:dyDescent="0.25">
      <c r="A52" s="8"/>
      <c r="B52" s="184"/>
      <c r="C52" s="185"/>
      <c r="D52" s="231">
        <v>38</v>
      </c>
      <c r="E52" s="233" t="s">
        <v>214</v>
      </c>
      <c r="F52" s="234"/>
      <c r="G52" s="234"/>
      <c r="H52" s="234"/>
      <c r="I52" s="234"/>
      <c r="J52" s="234"/>
      <c r="K52" s="234"/>
      <c r="L52" s="234"/>
      <c r="M52" s="234"/>
      <c r="N52" s="234"/>
      <c r="O52" s="234"/>
      <c r="P52" s="234"/>
      <c r="Q52" s="235"/>
      <c r="R52" s="231">
        <v>730</v>
      </c>
      <c r="S52" s="231"/>
      <c r="T52" s="231"/>
      <c r="U52" s="152" t="s">
        <v>207</v>
      </c>
      <c r="V52" s="152"/>
      <c r="W52" s="152"/>
      <c r="X52" s="152"/>
      <c r="Y52" s="152"/>
      <c r="Z52" s="152"/>
      <c r="AA52" s="146">
        <v>742</v>
      </c>
      <c r="AB52" s="146"/>
      <c r="AC52" s="194"/>
      <c r="AD52" s="195"/>
      <c r="AE52" s="195"/>
      <c r="AF52" s="195"/>
      <c r="AG52" s="195"/>
      <c r="AH52" s="195"/>
      <c r="AI52" s="195"/>
      <c r="AJ52" s="195"/>
      <c r="AK52" s="195"/>
      <c r="AL52" s="195"/>
      <c r="AM52" s="196"/>
      <c r="AN52" s="219">
        <v>127</v>
      </c>
      <c r="AO52" s="220"/>
      <c r="AP52" s="223"/>
      <c r="AQ52" s="224"/>
      <c r="AR52" s="225"/>
      <c r="AS52" s="229" t="s">
        <v>41</v>
      </c>
    </row>
    <row r="53" spans="1:45" ht="27.75" customHeight="1" x14ac:dyDescent="0.25">
      <c r="A53" s="8"/>
      <c r="B53" s="184"/>
      <c r="C53" s="185"/>
      <c r="D53" s="232"/>
      <c r="E53" s="236"/>
      <c r="F53" s="237"/>
      <c r="G53" s="237"/>
      <c r="H53" s="237"/>
      <c r="I53" s="237"/>
      <c r="J53" s="237"/>
      <c r="K53" s="237"/>
      <c r="L53" s="237"/>
      <c r="M53" s="237"/>
      <c r="N53" s="237"/>
      <c r="O53" s="237"/>
      <c r="P53" s="237"/>
      <c r="Q53" s="238"/>
      <c r="R53" s="232"/>
      <c r="S53" s="232"/>
      <c r="T53" s="232"/>
      <c r="U53" s="152" t="s">
        <v>208</v>
      </c>
      <c r="V53" s="152"/>
      <c r="W53" s="152"/>
      <c r="X53" s="152"/>
      <c r="Y53" s="152"/>
      <c r="Z53" s="152"/>
      <c r="AA53" s="146">
        <v>743</v>
      </c>
      <c r="AB53" s="146"/>
      <c r="AC53" s="194"/>
      <c r="AD53" s="195"/>
      <c r="AE53" s="195"/>
      <c r="AF53" s="195"/>
      <c r="AG53" s="195"/>
      <c r="AH53" s="195"/>
      <c r="AI53" s="195"/>
      <c r="AJ53" s="195"/>
      <c r="AK53" s="195"/>
      <c r="AL53" s="195"/>
      <c r="AM53" s="196"/>
      <c r="AN53" s="221"/>
      <c r="AO53" s="222"/>
      <c r="AP53" s="226"/>
      <c r="AQ53" s="227"/>
      <c r="AR53" s="228"/>
      <c r="AS53" s="230"/>
    </row>
    <row r="54" spans="1:45" ht="27.75" customHeight="1" x14ac:dyDescent="0.25">
      <c r="A54" s="8"/>
      <c r="B54" s="184"/>
      <c r="C54" s="185"/>
      <c r="D54" s="18">
        <v>39</v>
      </c>
      <c r="E54" s="233" t="s">
        <v>215</v>
      </c>
      <c r="F54" s="234"/>
      <c r="G54" s="234"/>
      <c r="H54" s="234"/>
      <c r="I54" s="234"/>
      <c r="J54" s="234"/>
      <c r="K54" s="234"/>
      <c r="L54" s="234"/>
      <c r="M54" s="234"/>
      <c r="N54" s="234"/>
      <c r="O54" s="234"/>
      <c r="P54" s="234"/>
      <c r="Q54" s="235"/>
      <c r="R54" s="231">
        <v>729</v>
      </c>
      <c r="S54" s="231"/>
      <c r="T54" s="219"/>
      <c r="U54" s="152" t="s">
        <v>207</v>
      </c>
      <c r="V54" s="152"/>
      <c r="W54" s="152"/>
      <c r="X54" s="152"/>
      <c r="Y54" s="152"/>
      <c r="Z54" s="152"/>
      <c r="AA54" s="146">
        <v>744</v>
      </c>
      <c r="AB54" s="146"/>
      <c r="AC54" s="194"/>
      <c r="AD54" s="195"/>
      <c r="AE54" s="195"/>
      <c r="AF54" s="195"/>
      <c r="AG54" s="195"/>
      <c r="AH54" s="195"/>
      <c r="AI54" s="195"/>
      <c r="AJ54" s="195"/>
      <c r="AK54" s="195"/>
      <c r="AL54" s="195"/>
      <c r="AM54" s="196"/>
      <c r="AN54" s="219">
        <v>544</v>
      </c>
      <c r="AO54" s="220"/>
      <c r="AP54" s="223"/>
      <c r="AQ54" s="224"/>
      <c r="AR54" s="225"/>
      <c r="AS54" s="229" t="s">
        <v>41</v>
      </c>
    </row>
    <row r="55" spans="1:45" ht="27.75" customHeight="1" x14ac:dyDescent="0.25">
      <c r="A55" s="8"/>
      <c r="B55" s="184"/>
      <c r="C55" s="185"/>
      <c r="D55" s="18"/>
      <c r="E55" s="236"/>
      <c r="F55" s="237"/>
      <c r="G55" s="237"/>
      <c r="H55" s="237"/>
      <c r="I55" s="237"/>
      <c r="J55" s="237"/>
      <c r="K55" s="237"/>
      <c r="L55" s="237"/>
      <c r="M55" s="237"/>
      <c r="N55" s="237"/>
      <c r="O55" s="237"/>
      <c r="P55" s="237"/>
      <c r="Q55" s="238"/>
      <c r="R55" s="232"/>
      <c r="S55" s="232"/>
      <c r="T55" s="221"/>
      <c r="U55" s="152" t="s">
        <v>208</v>
      </c>
      <c r="V55" s="152"/>
      <c r="W55" s="152"/>
      <c r="X55" s="152"/>
      <c r="Y55" s="152"/>
      <c r="Z55" s="152"/>
      <c r="AA55" s="146">
        <v>745</v>
      </c>
      <c r="AB55" s="146"/>
      <c r="AC55" s="194"/>
      <c r="AD55" s="195"/>
      <c r="AE55" s="195"/>
      <c r="AF55" s="195"/>
      <c r="AG55" s="195"/>
      <c r="AH55" s="195"/>
      <c r="AI55" s="195"/>
      <c r="AJ55" s="195"/>
      <c r="AK55" s="195"/>
      <c r="AL55" s="195"/>
      <c r="AM55" s="196"/>
      <c r="AN55" s="221"/>
      <c r="AO55" s="222"/>
      <c r="AP55" s="226"/>
      <c r="AQ55" s="227"/>
      <c r="AR55" s="228"/>
      <c r="AS55" s="230"/>
    </row>
    <row r="56" spans="1:45" ht="27.75" customHeight="1" x14ac:dyDescent="0.25">
      <c r="A56" s="8"/>
      <c r="B56" s="184"/>
      <c r="C56" s="185"/>
      <c r="D56" s="18">
        <v>40</v>
      </c>
      <c r="E56" s="239" t="s">
        <v>108</v>
      </c>
      <c r="F56" s="240"/>
      <c r="G56" s="240"/>
      <c r="H56" s="240"/>
      <c r="I56" s="240"/>
      <c r="J56" s="240"/>
      <c r="K56" s="240"/>
      <c r="L56" s="240"/>
      <c r="M56" s="240"/>
      <c r="N56" s="240"/>
      <c r="O56" s="240"/>
      <c r="P56" s="240"/>
      <c r="Q56" s="240"/>
      <c r="R56" s="240"/>
      <c r="S56" s="240"/>
      <c r="T56" s="240"/>
      <c r="U56" s="240"/>
      <c r="V56" s="240"/>
      <c r="W56" s="240"/>
      <c r="X56" s="240"/>
      <c r="Y56" s="240"/>
      <c r="Z56" s="240"/>
      <c r="AA56" s="240"/>
      <c r="AB56" s="240"/>
      <c r="AC56" s="240"/>
      <c r="AD56" s="240"/>
      <c r="AE56" s="240"/>
      <c r="AF56" s="240"/>
      <c r="AG56" s="240"/>
      <c r="AH56" s="240"/>
      <c r="AI56" s="240"/>
      <c r="AJ56" s="240"/>
      <c r="AK56" s="240"/>
      <c r="AL56" s="240"/>
      <c r="AM56" s="241"/>
      <c r="AN56" s="194">
        <v>523</v>
      </c>
      <c r="AO56" s="196"/>
      <c r="AP56" s="172"/>
      <c r="AQ56" s="173"/>
      <c r="AR56" s="174"/>
      <c r="AS56" s="24" t="s">
        <v>41</v>
      </c>
    </row>
    <row r="57" spans="1:45" ht="18.75" x14ac:dyDescent="0.25">
      <c r="A57" s="8"/>
      <c r="B57" s="184"/>
      <c r="C57" s="185"/>
      <c r="D57" s="18">
        <v>41</v>
      </c>
      <c r="E57" s="164" t="s">
        <v>216</v>
      </c>
      <c r="F57" s="165"/>
      <c r="G57" s="165"/>
      <c r="H57" s="165"/>
      <c r="I57" s="165"/>
      <c r="J57" s="165"/>
      <c r="K57" s="165"/>
      <c r="L57" s="165"/>
      <c r="M57" s="165"/>
      <c r="N57" s="165"/>
      <c r="O57" s="165"/>
      <c r="P57" s="165"/>
      <c r="Q57" s="165"/>
      <c r="R57" s="165"/>
      <c r="S57" s="165"/>
      <c r="T57" s="165"/>
      <c r="U57" s="165"/>
      <c r="V57" s="165"/>
      <c r="W57" s="165"/>
      <c r="X57" s="165"/>
      <c r="Y57" s="165"/>
      <c r="Z57" s="165"/>
      <c r="AA57" s="165"/>
      <c r="AB57" s="165"/>
      <c r="AC57" s="165"/>
      <c r="AD57" s="165"/>
      <c r="AE57" s="165"/>
      <c r="AF57" s="165"/>
      <c r="AG57" s="165"/>
      <c r="AH57" s="165"/>
      <c r="AI57" s="165"/>
      <c r="AJ57" s="165"/>
      <c r="AK57" s="165"/>
      <c r="AL57" s="165"/>
      <c r="AM57" s="166"/>
      <c r="AN57" s="194">
        <v>712</v>
      </c>
      <c r="AO57" s="196"/>
      <c r="AP57" s="172"/>
      <c r="AQ57" s="173"/>
      <c r="AR57" s="174"/>
      <c r="AS57" s="24" t="s">
        <v>41</v>
      </c>
    </row>
    <row r="58" spans="1:45" ht="18.75" x14ac:dyDescent="0.25">
      <c r="A58" s="8"/>
      <c r="B58" s="186"/>
      <c r="C58" s="187"/>
      <c r="D58" s="18">
        <v>42</v>
      </c>
      <c r="E58" s="242" t="s">
        <v>109</v>
      </c>
      <c r="F58" s="243"/>
      <c r="G58" s="243"/>
      <c r="H58" s="243"/>
      <c r="I58" s="243"/>
      <c r="J58" s="243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  <c r="W58" s="243"/>
      <c r="X58" s="243"/>
      <c r="Y58" s="243"/>
      <c r="Z58" s="243"/>
      <c r="AA58" s="243"/>
      <c r="AB58" s="243"/>
      <c r="AC58" s="243"/>
      <c r="AD58" s="243"/>
      <c r="AE58" s="243"/>
      <c r="AF58" s="243"/>
      <c r="AG58" s="243"/>
      <c r="AH58" s="243"/>
      <c r="AI58" s="243"/>
      <c r="AJ58" s="243"/>
      <c r="AK58" s="243"/>
      <c r="AL58" s="243"/>
      <c r="AM58" s="244"/>
      <c r="AN58" s="202">
        <v>537</v>
      </c>
      <c r="AO58" s="202"/>
      <c r="AP58" s="203"/>
      <c r="AQ58" s="203"/>
      <c r="AR58" s="203"/>
      <c r="AS58" s="25" t="s">
        <v>46</v>
      </c>
    </row>
    <row r="59" spans="1:45" ht="18" x14ac:dyDescent="0.25">
      <c r="A59" s="8"/>
      <c r="B59" s="9"/>
      <c r="C59" s="9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11"/>
      <c r="X59" s="11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245"/>
      <c r="AR59" s="245"/>
      <c r="AS59" s="245"/>
    </row>
    <row r="60" spans="1:45" ht="15.75" x14ac:dyDescent="0.25">
      <c r="A60" s="8"/>
      <c r="B60" s="9"/>
      <c r="C60" s="9"/>
      <c r="D60" s="8" t="s">
        <v>110</v>
      </c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11"/>
      <c r="X60" s="11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19"/>
      <c r="AS60" s="9"/>
    </row>
    <row r="61" spans="1:45" ht="15.75" x14ac:dyDescent="0.25">
      <c r="A61" s="8"/>
      <c r="B61" s="9"/>
      <c r="C61" s="9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11"/>
      <c r="X61" s="11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19"/>
      <c r="AS61" s="9"/>
    </row>
    <row r="62" spans="1:45" ht="15.75" x14ac:dyDescent="0.25">
      <c r="A62" s="8"/>
      <c r="B62" s="9"/>
      <c r="C62" s="9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11"/>
      <c r="X62" s="11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188" t="s">
        <v>111</v>
      </c>
      <c r="AO62" s="189"/>
      <c r="AP62" s="189"/>
      <c r="AQ62" s="189"/>
      <c r="AR62" s="189"/>
      <c r="AS62" s="190"/>
    </row>
    <row r="63" spans="1:45" ht="18.75" x14ac:dyDescent="0.25">
      <c r="A63" s="8"/>
      <c r="B63" s="9"/>
      <c r="C63" s="9"/>
      <c r="D63" s="18">
        <v>43</v>
      </c>
      <c r="E63" s="164" t="s">
        <v>112</v>
      </c>
      <c r="F63" s="165"/>
      <c r="G63" s="165"/>
      <c r="H63" s="165"/>
      <c r="I63" s="165"/>
      <c r="J63" s="165"/>
      <c r="K63" s="165"/>
      <c r="L63" s="165"/>
      <c r="M63" s="165"/>
      <c r="N63" s="165"/>
      <c r="O63" s="166"/>
      <c r="P63" s="246">
        <v>77</v>
      </c>
      <c r="Q63" s="247"/>
      <c r="R63" s="248"/>
      <c r="S63" s="249"/>
      <c r="T63" s="249"/>
      <c r="U63" s="249"/>
      <c r="V63" s="249"/>
      <c r="W63" s="249"/>
      <c r="X63" s="249"/>
      <c r="Y63" s="249"/>
      <c r="Z63" s="249"/>
      <c r="AA63" s="249"/>
      <c r="AB63" s="249"/>
      <c r="AC63" s="249"/>
      <c r="AD63" s="249"/>
      <c r="AE63" s="249"/>
      <c r="AF63" s="250"/>
      <c r="AG63" s="164" t="s">
        <v>113</v>
      </c>
      <c r="AH63" s="165"/>
      <c r="AI63" s="165"/>
      <c r="AJ63" s="165"/>
      <c r="AK63" s="165"/>
      <c r="AL63" s="165"/>
      <c r="AM63" s="166"/>
      <c r="AN63" s="202">
        <v>89</v>
      </c>
      <c r="AO63" s="202"/>
      <c r="AP63" s="251"/>
      <c r="AQ63" s="251"/>
      <c r="AR63" s="251"/>
      <c r="AS63" s="25" t="s">
        <v>41</v>
      </c>
    </row>
    <row r="64" spans="1:45" ht="15.75" x14ac:dyDescent="0.25">
      <c r="A64" s="8"/>
      <c r="B64" s="9"/>
      <c r="C64" s="9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11"/>
      <c r="X64" s="11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19"/>
      <c r="AS64" s="9"/>
    </row>
    <row r="65" spans="1:45" ht="18.75" x14ac:dyDescent="0.25">
      <c r="A65" s="8"/>
      <c r="B65" s="156" t="s">
        <v>114</v>
      </c>
      <c r="C65" s="157"/>
      <c r="D65" s="45">
        <v>44</v>
      </c>
      <c r="E65" s="191" t="s">
        <v>115</v>
      </c>
      <c r="F65" s="164" t="s">
        <v>116</v>
      </c>
      <c r="G65" s="165"/>
      <c r="H65" s="165"/>
      <c r="I65" s="165"/>
      <c r="J65" s="165"/>
      <c r="K65" s="165"/>
      <c r="L65" s="165"/>
      <c r="M65" s="165"/>
      <c r="N65" s="165"/>
      <c r="O65" s="165"/>
      <c r="P65" s="165"/>
      <c r="Q65" s="165"/>
      <c r="R65" s="165"/>
      <c r="S65" s="165"/>
      <c r="T65" s="165"/>
      <c r="U65" s="165"/>
      <c r="V65" s="165"/>
      <c r="W65" s="165"/>
      <c r="X65" s="165"/>
      <c r="Y65" s="165"/>
      <c r="Z65" s="165"/>
      <c r="AA65" s="165"/>
      <c r="AB65" s="165"/>
      <c r="AC65" s="165"/>
      <c r="AD65" s="165"/>
      <c r="AE65" s="165"/>
      <c r="AF65" s="165"/>
      <c r="AG65" s="165"/>
      <c r="AH65" s="165"/>
      <c r="AI65" s="165"/>
      <c r="AJ65" s="165"/>
      <c r="AK65" s="165"/>
      <c r="AL65" s="165"/>
      <c r="AM65" s="166"/>
      <c r="AN65" s="155">
        <v>50</v>
      </c>
      <c r="AO65" s="155"/>
      <c r="AP65" s="151"/>
      <c r="AQ65" s="151"/>
      <c r="AR65" s="151"/>
      <c r="AS65" s="89" t="s">
        <v>41</v>
      </c>
    </row>
    <row r="66" spans="1:45" ht="18.75" x14ac:dyDescent="0.25">
      <c r="A66" s="8"/>
      <c r="B66" s="158"/>
      <c r="C66" s="159"/>
      <c r="D66" s="45">
        <v>45</v>
      </c>
      <c r="E66" s="192"/>
      <c r="F66" s="164" t="s">
        <v>117</v>
      </c>
      <c r="G66" s="165"/>
      <c r="H66" s="165"/>
      <c r="I66" s="165"/>
      <c r="J66" s="165"/>
      <c r="K66" s="165"/>
      <c r="L66" s="165"/>
      <c r="M66" s="165"/>
      <c r="N66" s="165"/>
      <c r="O66" s="165"/>
      <c r="P66" s="165"/>
      <c r="Q66" s="165"/>
      <c r="R66" s="165"/>
      <c r="S66" s="165"/>
      <c r="T66" s="165"/>
      <c r="U66" s="165"/>
      <c r="V66" s="165"/>
      <c r="W66" s="165"/>
      <c r="X66" s="165"/>
      <c r="Y66" s="165"/>
      <c r="Z66" s="165"/>
      <c r="AA66" s="165"/>
      <c r="AB66" s="165"/>
      <c r="AC66" s="165"/>
      <c r="AD66" s="165"/>
      <c r="AE66" s="165"/>
      <c r="AF66" s="165"/>
      <c r="AG66" s="165"/>
      <c r="AH66" s="165"/>
      <c r="AI66" s="165"/>
      <c r="AJ66" s="165"/>
      <c r="AK66" s="165"/>
      <c r="AL66" s="165"/>
      <c r="AM66" s="166"/>
      <c r="AN66" s="155">
        <v>48</v>
      </c>
      <c r="AO66" s="155"/>
      <c r="AP66" s="151"/>
      <c r="AQ66" s="151"/>
      <c r="AR66" s="151"/>
      <c r="AS66" s="89" t="s">
        <v>41</v>
      </c>
    </row>
    <row r="67" spans="1:45" ht="18.75" x14ac:dyDescent="0.25">
      <c r="A67" s="8"/>
      <c r="B67" s="158"/>
      <c r="C67" s="159"/>
      <c r="D67" s="45">
        <v>46</v>
      </c>
      <c r="E67" s="192"/>
      <c r="F67" s="212" t="s">
        <v>118</v>
      </c>
      <c r="G67" s="213"/>
      <c r="H67" s="213"/>
      <c r="I67" s="213"/>
      <c r="J67" s="213"/>
      <c r="K67" s="213"/>
      <c r="L67" s="213"/>
      <c r="M67" s="213"/>
      <c r="N67" s="213"/>
      <c r="O67" s="213"/>
      <c r="P67" s="213"/>
      <c r="Q67" s="213"/>
      <c r="R67" s="213"/>
      <c r="S67" s="213"/>
      <c r="T67" s="213"/>
      <c r="U67" s="213"/>
      <c r="V67" s="213"/>
      <c r="W67" s="213"/>
      <c r="X67" s="213"/>
      <c r="Y67" s="213"/>
      <c r="Z67" s="213"/>
      <c r="AA67" s="213"/>
      <c r="AB67" s="213"/>
      <c r="AC67" s="213"/>
      <c r="AD67" s="213"/>
      <c r="AE67" s="213"/>
      <c r="AF67" s="213"/>
      <c r="AG67" s="213"/>
      <c r="AH67" s="213"/>
      <c r="AI67" s="213"/>
      <c r="AJ67" s="213"/>
      <c r="AK67" s="213"/>
      <c r="AL67" s="213"/>
      <c r="AM67" s="214"/>
      <c r="AN67" s="155">
        <v>151</v>
      </c>
      <c r="AO67" s="155"/>
      <c r="AP67" s="151"/>
      <c r="AQ67" s="151"/>
      <c r="AR67" s="151"/>
      <c r="AS67" s="89" t="s">
        <v>41</v>
      </c>
    </row>
    <row r="68" spans="1:45" ht="18.75" x14ac:dyDescent="0.25">
      <c r="A68" s="8"/>
      <c r="B68" s="158"/>
      <c r="C68" s="159"/>
      <c r="D68" s="45">
        <v>47</v>
      </c>
      <c r="E68" s="192"/>
      <c r="F68" s="164" t="s">
        <v>119</v>
      </c>
      <c r="G68" s="165"/>
      <c r="H68" s="165"/>
      <c r="I68" s="165"/>
      <c r="J68" s="165"/>
      <c r="K68" s="165"/>
      <c r="L68" s="165"/>
      <c r="M68" s="165"/>
      <c r="N68" s="165"/>
      <c r="O68" s="165"/>
      <c r="P68" s="165"/>
      <c r="Q68" s="165"/>
      <c r="R68" s="165"/>
      <c r="S68" s="165"/>
      <c r="T68" s="165"/>
      <c r="U68" s="165"/>
      <c r="V68" s="165"/>
      <c r="W68" s="165"/>
      <c r="X68" s="165"/>
      <c r="Y68" s="165"/>
      <c r="Z68" s="165"/>
      <c r="AA68" s="165"/>
      <c r="AB68" s="165"/>
      <c r="AC68" s="165"/>
      <c r="AD68" s="165"/>
      <c r="AE68" s="165"/>
      <c r="AF68" s="165"/>
      <c r="AG68" s="165"/>
      <c r="AH68" s="165"/>
      <c r="AI68" s="165"/>
      <c r="AJ68" s="165"/>
      <c r="AK68" s="165"/>
      <c r="AL68" s="165"/>
      <c r="AM68" s="166"/>
      <c r="AN68" s="155">
        <v>153</v>
      </c>
      <c r="AO68" s="155"/>
      <c r="AP68" s="151"/>
      <c r="AQ68" s="151"/>
      <c r="AR68" s="151"/>
      <c r="AS68" s="89" t="s">
        <v>41</v>
      </c>
    </row>
    <row r="69" spans="1:45" ht="18.75" x14ac:dyDescent="0.25">
      <c r="A69" s="8"/>
      <c r="B69" s="158"/>
      <c r="C69" s="159"/>
      <c r="D69" s="45">
        <v>48</v>
      </c>
      <c r="E69" s="192"/>
      <c r="F69" s="164" t="s">
        <v>120</v>
      </c>
      <c r="G69" s="165"/>
      <c r="H69" s="165"/>
      <c r="I69" s="165"/>
      <c r="J69" s="165"/>
      <c r="K69" s="165"/>
      <c r="L69" s="165"/>
      <c r="M69" s="165"/>
      <c r="N69" s="165"/>
      <c r="O69" s="165"/>
      <c r="P69" s="165"/>
      <c r="Q69" s="165"/>
      <c r="R69" s="165"/>
      <c r="S69" s="165"/>
      <c r="T69" s="165"/>
      <c r="U69" s="165"/>
      <c r="V69" s="165"/>
      <c r="W69" s="165"/>
      <c r="X69" s="165"/>
      <c r="Y69" s="165"/>
      <c r="Z69" s="165"/>
      <c r="AA69" s="165"/>
      <c r="AB69" s="165"/>
      <c r="AC69" s="165"/>
      <c r="AD69" s="165"/>
      <c r="AE69" s="165"/>
      <c r="AF69" s="165"/>
      <c r="AG69" s="165"/>
      <c r="AH69" s="165"/>
      <c r="AI69" s="165"/>
      <c r="AJ69" s="165"/>
      <c r="AK69" s="165"/>
      <c r="AL69" s="165"/>
      <c r="AM69" s="166"/>
      <c r="AN69" s="155">
        <v>54</v>
      </c>
      <c r="AO69" s="155"/>
      <c r="AP69" s="151"/>
      <c r="AQ69" s="151"/>
      <c r="AR69" s="151"/>
      <c r="AS69" s="89" t="s">
        <v>41</v>
      </c>
    </row>
    <row r="70" spans="1:45" ht="18.75" x14ac:dyDescent="0.25">
      <c r="A70" s="8"/>
      <c r="B70" s="158"/>
      <c r="C70" s="159"/>
      <c r="D70" s="45">
        <v>49</v>
      </c>
      <c r="E70" s="192"/>
      <c r="F70" s="164" t="s">
        <v>121</v>
      </c>
      <c r="G70" s="165"/>
      <c r="H70" s="165"/>
      <c r="I70" s="165"/>
      <c r="J70" s="165"/>
      <c r="K70" s="165"/>
      <c r="L70" s="165"/>
      <c r="M70" s="165"/>
      <c r="N70" s="165"/>
      <c r="O70" s="165"/>
      <c r="P70" s="165"/>
      <c r="Q70" s="165"/>
      <c r="R70" s="165"/>
      <c r="S70" s="165"/>
      <c r="T70" s="165"/>
      <c r="U70" s="165"/>
      <c r="V70" s="165"/>
      <c r="W70" s="165"/>
      <c r="X70" s="165"/>
      <c r="Y70" s="165"/>
      <c r="Z70" s="165"/>
      <c r="AA70" s="165"/>
      <c r="AB70" s="165"/>
      <c r="AC70" s="165"/>
      <c r="AD70" s="165"/>
      <c r="AE70" s="165"/>
      <c r="AF70" s="165"/>
      <c r="AG70" s="165"/>
      <c r="AH70" s="165"/>
      <c r="AI70" s="165"/>
      <c r="AJ70" s="165"/>
      <c r="AK70" s="165"/>
      <c r="AL70" s="165"/>
      <c r="AM70" s="166"/>
      <c r="AN70" s="155">
        <v>56</v>
      </c>
      <c r="AO70" s="155"/>
      <c r="AP70" s="151"/>
      <c r="AQ70" s="151"/>
      <c r="AR70" s="151"/>
      <c r="AS70" s="89" t="s">
        <v>41</v>
      </c>
    </row>
    <row r="71" spans="1:45" ht="18.75" x14ac:dyDescent="0.25">
      <c r="A71" s="8"/>
      <c r="B71" s="158"/>
      <c r="C71" s="159"/>
      <c r="D71" s="45">
        <v>50</v>
      </c>
      <c r="E71" s="192"/>
      <c r="F71" s="164" t="s">
        <v>122</v>
      </c>
      <c r="G71" s="165"/>
      <c r="H71" s="165"/>
      <c r="I71" s="165"/>
      <c r="J71" s="165"/>
      <c r="K71" s="165"/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  <c r="AA71" s="165"/>
      <c r="AB71" s="165"/>
      <c r="AC71" s="165"/>
      <c r="AD71" s="165"/>
      <c r="AE71" s="165"/>
      <c r="AF71" s="165"/>
      <c r="AG71" s="165"/>
      <c r="AH71" s="165"/>
      <c r="AI71" s="165"/>
      <c r="AJ71" s="165"/>
      <c r="AK71" s="165"/>
      <c r="AL71" s="165"/>
      <c r="AM71" s="166"/>
      <c r="AN71" s="155">
        <v>588</v>
      </c>
      <c r="AO71" s="155"/>
      <c r="AP71" s="151"/>
      <c r="AQ71" s="151"/>
      <c r="AR71" s="151"/>
      <c r="AS71" s="89" t="s">
        <v>41</v>
      </c>
    </row>
    <row r="72" spans="1:45" ht="18.75" x14ac:dyDescent="0.25">
      <c r="A72" s="8"/>
      <c r="B72" s="158"/>
      <c r="C72" s="159"/>
      <c r="D72" s="45">
        <v>51</v>
      </c>
      <c r="E72" s="193"/>
      <c r="F72" s="164" t="s">
        <v>123</v>
      </c>
      <c r="G72" s="165"/>
      <c r="H72" s="165"/>
      <c r="I72" s="165"/>
      <c r="J72" s="165"/>
      <c r="K72" s="165"/>
      <c r="L72" s="165"/>
      <c r="M72" s="165"/>
      <c r="N72" s="165"/>
      <c r="O72" s="165"/>
      <c r="P72" s="165"/>
      <c r="Q72" s="165"/>
      <c r="R72" s="165"/>
      <c r="S72" s="165"/>
      <c r="T72" s="165"/>
      <c r="U72" s="165"/>
      <c r="V72" s="165"/>
      <c r="W72" s="165"/>
      <c r="X72" s="165"/>
      <c r="Y72" s="165"/>
      <c r="Z72" s="165"/>
      <c r="AA72" s="165"/>
      <c r="AB72" s="165"/>
      <c r="AC72" s="165"/>
      <c r="AD72" s="165"/>
      <c r="AE72" s="165"/>
      <c r="AF72" s="165"/>
      <c r="AG72" s="165"/>
      <c r="AH72" s="165"/>
      <c r="AI72" s="165"/>
      <c r="AJ72" s="165"/>
      <c r="AK72" s="165"/>
      <c r="AL72" s="165"/>
      <c r="AM72" s="166"/>
      <c r="AN72" s="155">
        <v>589</v>
      </c>
      <c r="AO72" s="155"/>
      <c r="AP72" s="151"/>
      <c r="AQ72" s="151"/>
      <c r="AR72" s="151"/>
      <c r="AS72" s="89" t="s">
        <v>41</v>
      </c>
    </row>
    <row r="73" spans="1:45" ht="15.75" x14ac:dyDescent="0.25">
      <c r="A73" s="26"/>
      <c r="B73" s="158"/>
      <c r="C73" s="159"/>
      <c r="D73" s="46"/>
      <c r="E73" s="27"/>
      <c r="F73" s="252"/>
      <c r="G73" s="253"/>
      <c r="H73" s="254"/>
      <c r="I73" s="27"/>
      <c r="J73" s="188" t="s">
        <v>124</v>
      </c>
      <c r="K73" s="189"/>
      <c r="L73" s="189"/>
      <c r="M73" s="189"/>
      <c r="N73" s="189"/>
      <c r="O73" s="189"/>
      <c r="P73" s="189"/>
      <c r="Q73" s="190"/>
      <c r="R73" s="188" t="s">
        <v>58</v>
      </c>
      <c r="S73" s="189"/>
      <c r="T73" s="189"/>
      <c r="U73" s="189"/>
      <c r="V73" s="189"/>
      <c r="W73" s="189"/>
      <c r="X73" s="189"/>
      <c r="Y73" s="189"/>
      <c r="Z73" s="190"/>
      <c r="AA73" s="188" t="s">
        <v>59</v>
      </c>
      <c r="AB73" s="189"/>
      <c r="AC73" s="189"/>
      <c r="AD73" s="190"/>
      <c r="AE73" s="188" t="s">
        <v>125</v>
      </c>
      <c r="AF73" s="189"/>
      <c r="AG73" s="189"/>
      <c r="AH73" s="189"/>
      <c r="AI73" s="189"/>
      <c r="AJ73" s="189"/>
      <c r="AK73" s="189"/>
      <c r="AL73" s="189"/>
      <c r="AM73" s="190"/>
      <c r="AN73" s="255" t="s">
        <v>126</v>
      </c>
      <c r="AO73" s="256"/>
      <c r="AP73" s="256"/>
      <c r="AQ73" s="256"/>
      <c r="AR73" s="257"/>
      <c r="AS73" s="27"/>
    </row>
    <row r="74" spans="1:45" ht="18.75" x14ac:dyDescent="0.25">
      <c r="A74" s="8"/>
      <c r="B74" s="158"/>
      <c r="C74" s="159"/>
      <c r="D74" s="90">
        <v>52</v>
      </c>
      <c r="E74" s="279" t="s">
        <v>60</v>
      </c>
      <c r="F74" s="91" t="s">
        <v>127</v>
      </c>
      <c r="G74" s="48"/>
      <c r="H74" s="48"/>
      <c r="I74" s="28">
        <v>30</v>
      </c>
      <c r="J74" s="262"/>
      <c r="K74" s="263"/>
      <c r="L74" s="263"/>
      <c r="M74" s="263"/>
      <c r="N74" s="263"/>
      <c r="O74" s="263"/>
      <c r="P74" s="263"/>
      <c r="Q74" s="264"/>
      <c r="R74" s="40">
        <v>563</v>
      </c>
      <c r="S74" s="265"/>
      <c r="T74" s="266"/>
      <c r="U74" s="266"/>
      <c r="V74" s="266"/>
      <c r="W74" s="266"/>
      <c r="X74" s="266"/>
      <c r="Y74" s="266"/>
      <c r="Z74" s="267"/>
      <c r="AA74" s="268">
        <v>115</v>
      </c>
      <c r="AB74" s="269"/>
      <c r="AC74" s="272"/>
      <c r="AD74" s="273"/>
      <c r="AE74" s="268">
        <v>68</v>
      </c>
      <c r="AF74" s="269"/>
      <c r="AG74" s="258"/>
      <c r="AH74" s="259"/>
      <c r="AI74" s="259"/>
      <c r="AJ74" s="259"/>
      <c r="AK74" s="259"/>
      <c r="AL74" s="259"/>
      <c r="AM74" s="260"/>
      <c r="AN74" s="155">
        <v>62</v>
      </c>
      <c r="AO74" s="155"/>
      <c r="AP74" s="261"/>
      <c r="AQ74" s="261"/>
      <c r="AR74" s="261"/>
      <c r="AS74" s="89" t="s">
        <v>41</v>
      </c>
    </row>
    <row r="75" spans="1:45" ht="18.75" x14ac:dyDescent="0.25">
      <c r="A75" s="8"/>
      <c r="B75" s="158"/>
      <c r="C75" s="159"/>
      <c r="D75" s="92">
        <v>53</v>
      </c>
      <c r="E75" s="280"/>
      <c r="F75" s="93" t="s">
        <v>128</v>
      </c>
      <c r="G75" s="20"/>
      <c r="H75" s="20"/>
      <c r="I75" s="28">
        <v>565</v>
      </c>
      <c r="J75" s="262"/>
      <c r="K75" s="263"/>
      <c r="L75" s="263"/>
      <c r="M75" s="263"/>
      <c r="N75" s="263"/>
      <c r="O75" s="263"/>
      <c r="P75" s="263"/>
      <c r="Q75" s="264"/>
      <c r="R75" s="28">
        <v>120</v>
      </c>
      <c r="S75" s="265"/>
      <c r="T75" s="266"/>
      <c r="U75" s="266"/>
      <c r="V75" s="266"/>
      <c r="W75" s="266"/>
      <c r="X75" s="266"/>
      <c r="Y75" s="266"/>
      <c r="Z75" s="267"/>
      <c r="AA75" s="268">
        <v>542</v>
      </c>
      <c r="AB75" s="269"/>
      <c r="AC75" s="270"/>
      <c r="AD75" s="271"/>
      <c r="AE75" s="268">
        <v>122</v>
      </c>
      <c r="AF75" s="269">
        <v>42</v>
      </c>
      <c r="AG75" s="258"/>
      <c r="AH75" s="259"/>
      <c r="AI75" s="259"/>
      <c r="AJ75" s="259"/>
      <c r="AK75" s="259"/>
      <c r="AL75" s="259"/>
      <c r="AM75" s="260"/>
      <c r="AN75" s="155">
        <v>123</v>
      </c>
      <c r="AO75" s="155"/>
      <c r="AP75" s="151"/>
      <c r="AQ75" s="151"/>
      <c r="AR75" s="151"/>
      <c r="AS75" s="89" t="s">
        <v>41</v>
      </c>
    </row>
    <row r="76" spans="1:45" ht="18.75" x14ac:dyDescent="0.25">
      <c r="A76" s="8"/>
      <c r="B76" s="158"/>
      <c r="C76" s="159"/>
      <c r="D76" s="92">
        <v>54</v>
      </c>
      <c r="E76" s="280"/>
      <c r="F76" s="93" t="s">
        <v>129</v>
      </c>
      <c r="G76" s="20"/>
      <c r="H76" s="20"/>
      <c r="I76" s="28">
        <v>700</v>
      </c>
      <c r="J76" s="262"/>
      <c r="K76" s="263"/>
      <c r="L76" s="263"/>
      <c r="M76" s="263"/>
      <c r="N76" s="263"/>
      <c r="O76" s="263"/>
      <c r="P76" s="263"/>
      <c r="Q76" s="264"/>
      <c r="R76" s="28">
        <v>701</v>
      </c>
      <c r="S76" s="265"/>
      <c r="T76" s="266"/>
      <c r="U76" s="266"/>
      <c r="V76" s="266"/>
      <c r="W76" s="266"/>
      <c r="X76" s="266"/>
      <c r="Y76" s="266"/>
      <c r="Z76" s="267"/>
      <c r="AA76" s="268">
        <v>702</v>
      </c>
      <c r="AB76" s="269"/>
      <c r="AC76" s="270"/>
      <c r="AD76" s="271"/>
      <c r="AE76" s="268">
        <v>711</v>
      </c>
      <c r="AF76" s="269"/>
      <c r="AG76" s="258"/>
      <c r="AH76" s="259"/>
      <c r="AI76" s="259"/>
      <c r="AJ76" s="259"/>
      <c r="AK76" s="259"/>
      <c r="AL76" s="259"/>
      <c r="AM76" s="260"/>
      <c r="AN76" s="155">
        <v>703</v>
      </c>
      <c r="AO76" s="155"/>
      <c r="AP76" s="151"/>
      <c r="AQ76" s="151"/>
      <c r="AR76" s="151"/>
      <c r="AS76" s="89" t="s">
        <v>41</v>
      </c>
    </row>
    <row r="77" spans="1:45" ht="18.75" x14ac:dyDescent="0.25">
      <c r="A77" s="8"/>
      <c r="B77" s="158"/>
      <c r="C77" s="159"/>
      <c r="D77" s="92">
        <v>55</v>
      </c>
      <c r="E77" s="280"/>
      <c r="F77" s="165" t="s">
        <v>217</v>
      </c>
      <c r="G77" s="165"/>
      <c r="H77" s="165"/>
      <c r="I77" s="282"/>
      <c r="J77" s="282"/>
      <c r="K77" s="282"/>
      <c r="L77" s="282"/>
      <c r="M77" s="282"/>
      <c r="N77" s="282"/>
      <c r="O77" s="282"/>
      <c r="P77" s="282"/>
      <c r="Q77" s="282"/>
      <c r="R77" s="165"/>
      <c r="S77" s="165"/>
      <c r="T77" s="165"/>
      <c r="U77" s="165"/>
      <c r="V77" s="165"/>
      <c r="W77" s="165"/>
      <c r="X77" s="165"/>
      <c r="Y77" s="165"/>
      <c r="Z77" s="165"/>
      <c r="AA77" s="165"/>
      <c r="AB77" s="165"/>
      <c r="AC77" s="165"/>
      <c r="AD77" s="165"/>
      <c r="AE77" s="165"/>
      <c r="AF77" s="165"/>
      <c r="AG77" s="165"/>
      <c r="AH77" s="165"/>
      <c r="AI77" s="165"/>
      <c r="AJ77" s="165"/>
      <c r="AK77" s="165"/>
      <c r="AL77" s="165"/>
      <c r="AM77" s="166"/>
      <c r="AN77" s="155">
        <v>66</v>
      </c>
      <c r="AO77" s="155"/>
      <c r="AP77" s="151"/>
      <c r="AQ77" s="151"/>
      <c r="AR77" s="151"/>
      <c r="AS77" s="89" t="s">
        <v>41</v>
      </c>
    </row>
    <row r="78" spans="1:45" ht="18.75" x14ac:dyDescent="0.25">
      <c r="A78" s="8"/>
      <c r="B78" s="158"/>
      <c r="C78" s="159"/>
      <c r="D78" s="231">
        <v>56</v>
      </c>
      <c r="E78" s="280"/>
      <c r="F78" s="275" t="s">
        <v>218</v>
      </c>
      <c r="G78" s="276"/>
      <c r="H78" s="277"/>
      <c r="I78" s="216" t="s">
        <v>219</v>
      </c>
      <c r="J78" s="217"/>
      <c r="K78" s="217"/>
      <c r="L78" s="217"/>
      <c r="M78" s="217"/>
      <c r="N78" s="217"/>
      <c r="O78" s="217"/>
      <c r="P78" s="217"/>
      <c r="Q78" s="218"/>
      <c r="R78" s="278" t="s">
        <v>220</v>
      </c>
      <c r="S78" s="278"/>
      <c r="T78" s="278"/>
      <c r="U78" s="278"/>
      <c r="V78" s="278"/>
      <c r="W78" s="278"/>
      <c r="X78" s="278"/>
      <c r="Y78" s="278"/>
      <c r="Z78" s="278"/>
      <c r="AA78" s="278" t="s">
        <v>221</v>
      </c>
      <c r="AB78" s="278"/>
      <c r="AC78" s="278"/>
      <c r="AD78" s="278"/>
      <c r="AE78" s="278"/>
      <c r="AF78" s="278"/>
      <c r="AG78" s="278"/>
      <c r="AH78" s="278"/>
      <c r="AI78" s="278"/>
      <c r="AJ78" s="278"/>
      <c r="AK78" s="278"/>
      <c r="AL78" s="278"/>
      <c r="AM78" s="278"/>
      <c r="AN78" s="146"/>
      <c r="AO78" s="146"/>
      <c r="AP78" s="151"/>
      <c r="AQ78" s="151"/>
      <c r="AR78" s="151"/>
      <c r="AS78" s="24"/>
    </row>
    <row r="79" spans="1:45" ht="18.75" x14ac:dyDescent="0.25">
      <c r="A79" s="8"/>
      <c r="B79" s="158"/>
      <c r="C79" s="159"/>
      <c r="D79" s="274"/>
      <c r="E79" s="280"/>
      <c r="F79" s="283" t="s">
        <v>222</v>
      </c>
      <c r="G79" s="284"/>
      <c r="H79" s="285"/>
      <c r="I79" s="28">
        <v>721</v>
      </c>
      <c r="J79" s="2"/>
      <c r="K79" s="2"/>
      <c r="L79" s="2"/>
      <c r="M79" s="2"/>
      <c r="N79" s="2"/>
      <c r="O79" s="2"/>
      <c r="P79" s="2"/>
      <c r="Q79" s="2"/>
      <c r="R79" s="94">
        <v>722</v>
      </c>
      <c r="S79" s="2"/>
      <c r="T79" s="2"/>
      <c r="U79" s="2"/>
      <c r="V79" s="2"/>
      <c r="W79" s="2"/>
      <c r="X79" s="2"/>
      <c r="Y79" s="2"/>
      <c r="Z79" s="2"/>
      <c r="AA79" s="216">
        <v>724</v>
      </c>
      <c r="AB79" s="218"/>
      <c r="AC79" s="2"/>
      <c r="AD79" s="2"/>
      <c r="AE79" s="2"/>
      <c r="AF79" s="2"/>
      <c r="AG79" s="2"/>
      <c r="AH79" s="286" t="s">
        <v>223</v>
      </c>
      <c r="AI79" s="286"/>
      <c r="AJ79" s="286"/>
      <c r="AK79" s="286"/>
      <c r="AL79" s="286"/>
      <c r="AM79" s="287"/>
      <c r="AN79" s="155">
        <v>723</v>
      </c>
      <c r="AO79" s="155"/>
      <c r="AP79" s="151"/>
      <c r="AQ79" s="151"/>
      <c r="AR79" s="151"/>
      <c r="AS79" s="89" t="s">
        <v>45</v>
      </c>
    </row>
    <row r="80" spans="1:45" ht="18.75" x14ac:dyDescent="0.25">
      <c r="A80" s="8"/>
      <c r="B80" s="158"/>
      <c r="C80" s="159"/>
      <c r="D80" s="92">
        <v>57</v>
      </c>
      <c r="E80" s="280"/>
      <c r="F80" s="166" t="s">
        <v>130</v>
      </c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  <c r="AA80" s="152"/>
      <c r="AB80" s="152"/>
      <c r="AC80" s="152"/>
      <c r="AD80" s="152"/>
      <c r="AE80" s="152"/>
      <c r="AF80" s="152"/>
      <c r="AG80" s="152"/>
      <c r="AH80" s="152"/>
      <c r="AI80" s="152"/>
      <c r="AJ80" s="152"/>
      <c r="AK80" s="152"/>
      <c r="AL80" s="152"/>
      <c r="AM80" s="152"/>
      <c r="AN80" s="155">
        <v>152</v>
      </c>
      <c r="AO80" s="155"/>
      <c r="AP80" s="151"/>
      <c r="AQ80" s="151"/>
      <c r="AR80" s="151"/>
      <c r="AS80" s="89" t="s">
        <v>41</v>
      </c>
    </row>
    <row r="81" spans="1:45" ht="18.75" x14ac:dyDescent="0.25">
      <c r="A81" s="8"/>
      <c r="B81" s="160"/>
      <c r="C81" s="161"/>
      <c r="D81" s="92">
        <v>58</v>
      </c>
      <c r="E81" s="281"/>
      <c r="F81" s="166" t="s">
        <v>131</v>
      </c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  <c r="AC81" s="152"/>
      <c r="AD81" s="152"/>
      <c r="AE81" s="152"/>
      <c r="AF81" s="152"/>
      <c r="AG81" s="152"/>
      <c r="AH81" s="152"/>
      <c r="AI81" s="152"/>
      <c r="AJ81" s="152"/>
      <c r="AK81" s="152"/>
      <c r="AL81" s="152"/>
      <c r="AM81" s="152"/>
      <c r="AN81" s="155">
        <v>70</v>
      </c>
      <c r="AO81" s="155"/>
      <c r="AP81" s="151"/>
      <c r="AQ81" s="151"/>
      <c r="AR81" s="151"/>
      <c r="AS81" s="89" t="s">
        <v>41</v>
      </c>
    </row>
    <row r="82" spans="1:45" ht="15.75" x14ac:dyDescent="0.25">
      <c r="A82" s="8"/>
      <c r="B82" s="9"/>
      <c r="C82" s="9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11"/>
      <c r="X82" s="11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9"/>
    </row>
    <row r="83" spans="1:45" ht="18.75" x14ac:dyDescent="0.25">
      <c r="A83" s="8"/>
      <c r="B83" s="9"/>
      <c r="C83" s="9"/>
      <c r="D83" s="18">
        <v>59</v>
      </c>
      <c r="E83" s="188" t="s">
        <v>132</v>
      </c>
      <c r="F83" s="189"/>
      <c r="G83" s="189"/>
      <c r="H83" s="189"/>
      <c r="I83" s="189"/>
      <c r="J83" s="189"/>
      <c r="K83" s="189"/>
      <c r="L83" s="189"/>
      <c r="M83" s="189"/>
      <c r="N83" s="189"/>
      <c r="O83" s="189"/>
      <c r="P83" s="189"/>
      <c r="Q83" s="189"/>
      <c r="R83" s="189"/>
      <c r="S83" s="189"/>
      <c r="T83" s="189"/>
      <c r="U83" s="189"/>
      <c r="V83" s="189"/>
      <c r="W83" s="189"/>
      <c r="X83" s="189"/>
      <c r="Y83" s="189"/>
      <c r="Z83" s="189"/>
      <c r="AA83" s="189"/>
      <c r="AB83" s="189"/>
      <c r="AC83" s="189"/>
      <c r="AD83" s="189"/>
      <c r="AE83" s="189"/>
      <c r="AF83" s="189"/>
      <c r="AG83" s="189"/>
      <c r="AH83" s="189"/>
      <c r="AI83" s="189"/>
      <c r="AJ83" s="189"/>
      <c r="AK83" s="189"/>
      <c r="AL83" s="189"/>
      <c r="AM83" s="190"/>
      <c r="AN83" s="194">
        <v>595</v>
      </c>
      <c r="AO83" s="196"/>
      <c r="AP83" s="261"/>
      <c r="AQ83" s="261"/>
      <c r="AR83" s="261"/>
      <c r="AS83" s="24" t="s">
        <v>46</v>
      </c>
    </row>
    <row r="84" spans="1:45" ht="15.75" x14ac:dyDescent="0.25">
      <c r="A84" s="8"/>
      <c r="B84" s="9"/>
      <c r="C84" s="9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11"/>
      <c r="X84" s="11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19"/>
      <c r="AS84" s="9"/>
    </row>
    <row r="85" spans="1:45" ht="15.75" x14ac:dyDescent="0.25">
      <c r="A85" s="8"/>
      <c r="B85" s="288" t="s">
        <v>133</v>
      </c>
      <c r="C85" s="289"/>
      <c r="D85" s="289"/>
      <c r="E85" s="289"/>
      <c r="F85" s="289"/>
      <c r="G85" s="289"/>
      <c r="H85" s="289"/>
      <c r="I85" s="289"/>
      <c r="J85" s="289"/>
      <c r="K85" s="289"/>
      <c r="L85" s="289"/>
      <c r="M85" s="289"/>
      <c r="N85" s="289"/>
      <c r="O85" s="289"/>
      <c r="P85" s="289"/>
      <c r="Q85" s="289"/>
      <c r="R85" s="289"/>
      <c r="S85" s="289"/>
      <c r="T85" s="289"/>
      <c r="U85" s="289"/>
      <c r="V85" s="289"/>
      <c r="W85" s="289"/>
      <c r="X85" s="289"/>
      <c r="Y85" s="289"/>
      <c r="Z85" s="289"/>
      <c r="AA85" s="289"/>
      <c r="AB85" s="289"/>
      <c r="AC85" s="289"/>
      <c r="AD85" s="289"/>
      <c r="AE85" s="289"/>
      <c r="AF85" s="289"/>
      <c r="AG85" s="289"/>
      <c r="AH85" s="289"/>
      <c r="AI85" s="289"/>
      <c r="AJ85" s="289"/>
      <c r="AK85" s="289"/>
      <c r="AL85" s="289"/>
      <c r="AM85" s="289"/>
      <c r="AN85" s="289"/>
      <c r="AO85" s="289"/>
      <c r="AP85" s="289"/>
      <c r="AQ85" s="289"/>
      <c r="AR85" s="289"/>
      <c r="AS85" s="290"/>
    </row>
    <row r="86" spans="1:45" ht="15.75" x14ac:dyDescent="0.25">
      <c r="A86" s="8"/>
      <c r="B86" s="291"/>
      <c r="C86" s="292"/>
      <c r="D86" s="292"/>
      <c r="E86" s="292"/>
      <c r="F86" s="292"/>
      <c r="G86" s="292"/>
      <c r="H86" s="292"/>
      <c r="I86" s="292"/>
      <c r="J86" s="292"/>
      <c r="K86" s="292"/>
      <c r="L86" s="292"/>
      <c r="M86" s="292"/>
      <c r="N86" s="292"/>
      <c r="O86" s="292"/>
      <c r="P86" s="292"/>
      <c r="Q86" s="292"/>
      <c r="R86" s="292"/>
      <c r="S86" s="292"/>
      <c r="T86" s="292"/>
      <c r="U86" s="292"/>
      <c r="V86" s="292"/>
      <c r="W86" s="292"/>
      <c r="X86" s="292"/>
      <c r="Y86" s="292"/>
      <c r="Z86" s="292"/>
      <c r="AA86" s="292"/>
      <c r="AB86" s="292"/>
      <c r="AC86" s="292"/>
      <c r="AD86" s="292"/>
      <c r="AE86" s="292"/>
      <c r="AF86" s="292"/>
      <c r="AG86" s="292"/>
      <c r="AH86" s="292"/>
      <c r="AI86" s="292"/>
      <c r="AJ86" s="292"/>
      <c r="AK86" s="292"/>
      <c r="AL86" s="292"/>
      <c r="AM86" s="292"/>
      <c r="AN86" s="292"/>
      <c r="AO86" s="292"/>
      <c r="AP86" s="292"/>
      <c r="AQ86" s="292"/>
      <c r="AR86" s="292"/>
      <c r="AS86" s="293"/>
    </row>
    <row r="87" spans="1:45" ht="15.75" x14ac:dyDescent="0.25">
      <c r="A87" s="8"/>
      <c r="B87" s="294" t="s">
        <v>61</v>
      </c>
      <c r="C87" s="295"/>
      <c r="D87" s="188" t="s">
        <v>134</v>
      </c>
      <c r="E87" s="189"/>
      <c r="F87" s="189"/>
      <c r="G87" s="189"/>
      <c r="H87" s="189"/>
      <c r="I87" s="189"/>
      <c r="J87" s="189"/>
      <c r="K87" s="189"/>
      <c r="L87" s="189"/>
      <c r="M87" s="189"/>
      <c r="N87" s="189"/>
      <c r="O87" s="189"/>
      <c r="P87" s="189"/>
      <c r="Q87" s="190"/>
      <c r="R87" s="29" t="s">
        <v>62</v>
      </c>
      <c r="S87" s="188" t="s">
        <v>135</v>
      </c>
      <c r="T87" s="189"/>
      <c r="U87" s="189"/>
      <c r="V87" s="189"/>
      <c r="W87" s="189"/>
      <c r="X87" s="189"/>
      <c r="Y87" s="189"/>
      <c r="Z87" s="189"/>
      <c r="AA87" s="189"/>
      <c r="AB87" s="189"/>
      <c r="AC87" s="189"/>
      <c r="AD87" s="189"/>
      <c r="AE87" s="189"/>
      <c r="AF87" s="189"/>
      <c r="AG87" s="189"/>
      <c r="AH87" s="190"/>
      <c r="AI87" s="29" t="s">
        <v>63</v>
      </c>
      <c r="AJ87" s="255" t="s">
        <v>64</v>
      </c>
      <c r="AK87" s="256"/>
      <c r="AL87" s="256"/>
      <c r="AM87" s="256"/>
      <c r="AN87" s="256"/>
      <c r="AO87" s="256"/>
      <c r="AP87" s="256"/>
      <c r="AQ87" s="256"/>
      <c r="AR87" s="256"/>
      <c r="AS87" s="257"/>
    </row>
    <row r="88" spans="1:45" ht="23.25" x14ac:dyDescent="0.25">
      <c r="A88" s="8"/>
      <c r="B88" s="296"/>
      <c r="C88" s="297"/>
      <c r="D88" s="297"/>
      <c r="E88" s="297"/>
      <c r="F88" s="297"/>
      <c r="G88" s="297"/>
      <c r="H88" s="297"/>
      <c r="I88" s="297"/>
      <c r="J88" s="297"/>
      <c r="K88" s="297"/>
      <c r="L88" s="297"/>
      <c r="M88" s="297"/>
      <c r="N88" s="297"/>
      <c r="O88" s="297"/>
      <c r="P88" s="297"/>
      <c r="Q88" s="297"/>
      <c r="R88" s="297"/>
      <c r="S88" s="297"/>
      <c r="T88" s="297"/>
      <c r="U88" s="297"/>
      <c r="V88" s="297"/>
      <c r="W88" s="297"/>
      <c r="X88" s="297"/>
      <c r="Y88" s="297"/>
      <c r="Z88" s="297"/>
      <c r="AA88" s="297"/>
      <c r="AB88" s="297"/>
      <c r="AC88" s="297"/>
      <c r="AD88" s="297"/>
      <c r="AE88" s="297"/>
      <c r="AF88" s="297"/>
      <c r="AG88" s="297"/>
      <c r="AH88" s="297"/>
      <c r="AI88" s="297"/>
      <c r="AJ88" s="297"/>
      <c r="AK88" s="297"/>
      <c r="AL88" s="297"/>
      <c r="AM88" s="297"/>
      <c r="AN88" s="297"/>
      <c r="AO88" s="297"/>
      <c r="AP88" s="297"/>
      <c r="AQ88" s="297"/>
      <c r="AR88" s="297"/>
      <c r="AS88" s="298"/>
    </row>
    <row r="89" spans="1:45" ht="15.75" x14ac:dyDescent="0.25">
      <c r="A89" s="8"/>
      <c r="B89" s="299" t="s">
        <v>65</v>
      </c>
      <c r="C89" s="300"/>
      <c r="D89" s="300"/>
      <c r="E89" s="300"/>
      <c r="F89" s="300"/>
      <c r="G89" s="300"/>
      <c r="H89" s="300"/>
      <c r="I89" s="300"/>
      <c r="J89" s="301"/>
      <c r="K89" s="231">
        <v>583</v>
      </c>
      <c r="L89" s="305"/>
      <c r="M89" s="306"/>
      <c r="N89" s="8"/>
      <c r="O89" s="8"/>
      <c r="P89" s="8"/>
      <c r="Q89" s="8"/>
      <c r="R89" s="8"/>
      <c r="S89" s="8"/>
      <c r="T89" s="8"/>
      <c r="U89" s="8"/>
      <c r="V89" s="8"/>
      <c r="W89" s="11"/>
      <c r="X89" s="11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219" t="s">
        <v>136</v>
      </c>
      <c r="AL89" s="309"/>
      <c r="AM89" s="309"/>
      <c r="AN89" s="309"/>
      <c r="AO89" s="309"/>
      <c r="AP89" s="309"/>
      <c r="AQ89" s="309"/>
      <c r="AR89" s="309"/>
      <c r="AS89" s="220"/>
    </row>
    <row r="90" spans="1:45" ht="15.75" x14ac:dyDescent="0.25">
      <c r="A90" s="8"/>
      <c r="B90" s="302"/>
      <c r="C90" s="303"/>
      <c r="D90" s="303"/>
      <c r="E90" s="303"/>
      <c r="F90" s="303"/>
      <c r="G90" s="303"/>
      <c r="H90" s="303"/>
      <c r="I90" s="303"/>
      <c r="J90" s="304"/>
      <c r="K90" s="232"/>
      <c r="L90" s="307"/>
      <c r="M90" s="308"/>
      <c r="N90" s="8" t="s">
        <v>66</v>
      </c>
      <c r="O90" s="8"/>
      <c r="P90" s="8"/>
      <c r="Q90" s="8"/>
      <c r="R90" s="8"/>
      <c r="S90" s="8"/>
      <c r="T90" s="8"/>
      <c r="U90" s="8"/>
      <c r="V90" s="8"/>
      <c r="W90" s="11"/>
      <c r="X90" s="11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221"/>
      <c r="AL90" s="310"/>
      <c r="AM90" s="310"/>
      <c r="AN90" s="310"/>
      <c r="AO90" s="310"/>
      <c r="AP90" s="310"/>
      <c r="AQ90" s="310"/>
      <c r="AR90" s="310"/>
      <c r="AS90" s="222"/>
    </row>
    <row r="91" spans="1:45" ht="15.75" x14ac:dyDescent="0.25">
      <c r="A91" s="8"/>
      <c r="B91" s="9"/>
      <c r="C91" s="9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11"/>
      <c r="X91" s="11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19"/>
      <c r="AS91" s="9"/>
    </row>
    <row r="92" spans="1:45" ht="18.75" x14ac:dyDescent="0.25">
      <c r="A92" s="8"/>
      <c r="B92" s="288" t="s">
        <v>67</v>
      </c>
      <c r="C92" s="289"/>
      <c r="D92" s="289"/>
      <c r="E92" s="289"/>
      <c r="F92" s="289"/>
      <c r="G92" s="289"/>
      <c r="H92" s="289"/>
      <c r="I92" s="289"/>
      <c r="J92" s="289"/>
      <c r="K92" s="289"/>
      <c r="L92" s="289"/>
      <c r="M92" s="289"/>
      <c r="N92" s="290"/>
      <c r="O92" s="8"/>
      <c r="P92" s="8"/>
      <c r="Q92" s="8"/>
      <c r="R92" s="28">
        <v>98</v>
      </c>
      <c r="S92" s="242" t="s">
        <v>137</v>
      </c>
      <c r="T92" s="243"/>
      <c r="U92" s="243"/>
      <c r="V92" s="243"/>
      <c r="W92" s="243"/>
      <c r="X92" s="243"/>
      <c r="Y92" s="243"/>
      <c r="Z92" s="243"/>
      <c r="AA92" s="243"/>
      <c r="AB92" s="243"/>
      <c r="AC92" s="243"/>
      <c r="AD92" s="243"/>
      <c r="AE92" s="243"/>
      <c r="AF92" s="243"/>
      <c r="AG92" s="243"/>
      <c r="AH92" s="243"/>
      <c r="AI92" s="243"/>
      <c r="AJ92" s="243"/>
      <c r="AK92" s="243"/>
      <c r="AL92" s="243"/>
      <c r="AM92" s="244"/>
      <c r="AN92" s="194">
        <v>91</v>
      </c>
      <c r="AO92" s="196"/>
      <c r="AP92" s="261"/>
      <c r="AQ92" s="261"/>
      <c r="AR92" s="261"/>
      <c r="AS92" s="24" t="s">
        <v>46</v>
      </c>
    </row>
    <row r="93" spans="1:45" ht="18.75" x14ac:dyDescent="0.25">
      <c r="A93" s="8"/>
      <c r="B93" s="311"/>
      <c r="C93" s="312"/>
      <c r="D93" s="312"/>
      <c r="E93" s="312"/>
      <c r="F93" s="312"/>
      <c r="G93" s="312"/>
      <c r="H93" s="312"/>
      <c r="I93" s="312"/>
      <c r="J93" s="312"/>
      <c r="K93" s="312"/>
      <c r="L93" s="312"/>
      <c r="M93" s="312"/>
      <c r="N93" s="313"/>
      <c r="O93" s="8"/>
      <c r="P93" s="8"/>
      <c r="Q93" s="8"/>
      <c r="R93" s="28">
        <v>99</v>
      </c>
      <c r="S93" s="242" t="s">
        <v>68</v>
      </c>
      <c r="T93" s="243"/>
      <c r="U93" s="243"/>
      <c r="V93" s="243"/>
      <c r="W93" s="243"/>
      <c r="X93" s="243"/>
      <c r="Y93" s="243"/>
      <c r="Z93" s="243"/>
      <c r="AA93" s="243"/>
      <c r="AB93" s="243"/>
      <c r="AC93" s="243"/>
      <c r="AD93" s="243"/>
      <c r="AE93" s="243"/>
      <c r="AF93" s="243"/>
      <c r="AG93" s="243"/>
      <c r="AH93" s="243"/>
      <c r="AI93" s="243"/>
      <c r="AJ93" s="243"/>
      <c r="AK93" s="243"/>
      <c r="AL93" s="243"/>
      <c r="AM93" s="244"/>
      <c r="AN93" s="194">
        <v>92</v>
      </c>
      <c r="AO93" s="196"/>
      <c r="AP93" s="151"/>
      <c r="AQ93" s="151"/>
      <c r="AR93" s="151"/>
      <c r="AS93" s="24" t="s">
        <v>41</v>
      </c>
    </row>
    <row r="94" spans="1:45" ht="18.75" x14ac:dyDescent="0.25">
      <c r="A94" s="8"/>
      <c r="B94" s="291"/>
      <c r="C94" s="292"/>
      <c r="D94" s="292"/>
      <c r="E94" s="292"/>
      <c r="F94" s="292"/>
      <c r="G94" s="292"/>
      <c r="H94" s="292"/>
      <c r="I94" s="292"/>
      <c r="J94" s="292"/>
      <c r="K94" s="292"/>
      <c r="L94" s="292"/>
      <c r="M94" s="292"/>
      <c r="N94" s="293"/>
      <c r="O94" s="8"/>
      <c r="P94" s="8"/>
      <c r="Q94" s="8"/>
      <c r="R94" s="28">
        <v>100</v>
      </c>
      <c r="S94" s="242" t="s">
        <v>138</v>
      </c>
      <c r="T94" s="243"/>
      <c r="U94" s="243"/>
      <c r="V94" s="243"/>
      <c r="W94" s="243"/>
      <c r="X94" s="243"/>
      <c r="Y94" s="243"/>
      <c r="Z94" s="243"/>
      <c r="AA94" s="243"/>
      <c r="AB94" s="243"/>
      <c r="AC94" s="243"/>
      <c r="AD94" s="243"/>
      <c r="AE94" s="243"/>
      <c r="AF94" s="243"/>
      <c r="AG94" s="243"/>
      <c r="AH94" s="243"/>
      <c r="AI94" s="243"/>
      <c r="AJ94" s="243"/>
      <c r="AK94" s="243"/>
      <c r="AL94" s="243"/>
      <c r="AM94" s="244"/>
      <c r="AN94" s="194">
        <v>93</v>
      </c>
      <c r="AO94" s="196"/>
      <c r="AP94" s="151"/>
      <c r="AQ94" s="151"/>
      <c r="AR94" s="151"/>
      <c r="AS94" s="24" t="s">
        <v>41</v>
      </c>
    </row>
    <row r="95" spans="1:45" ht="18.75" x14ac:dyDescent="0.25">
      <c r="A95" s="8"/>
      <c r="B95" s="9"/>
      <c r="C95" s="9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28">
        <v>101</v>
      </c>
      <c r="S95" s="242" t="s">
        <v>69</v>
      </c>
      <c r="T95" s="243"/>
      <c r="U95" s="243"/>
      <c r="V95" s="243"/>
      <c r="W95" s="243"/>
      <c r="X95" s="243"/>
      <c r="Y95" s="243"/>
      <c r="Z95" s="243"/>
      <c r="AA95" s="243"/>
      <c r="AB95" s="243"/>
      <c r="AC95" s="243"/>
      <c r="AD95" s="243"/>
      <c r="AE95" s="243"/>
      <c r="AF95" s="243"/>
      <c r="AG95" s="243"/>
      <c r="AH95" s="243"/>
      <c r="AI95" s="243"/>
      <c r="AJ95" s="243"/>
      <c r="AK95" s="243"/>
      <c r="AL95" s="243"/>
      <c r="AM95" s="244"/>
      <c r="AN95" s="194">
        <v>94</v>
      </c>
      <c r="AO95" s="196"/>
      <c r="AP95" s="261"/>
      <c r="AQ95" s="261"/>
      <c r="AR95" s="261"/>
      <c r="AS95" s="24" t="s">
        <v>46</v>
      </c>
    </row>
  </sheetData>
  <mergeCells count="350">
    <mergeCell ref="AN93:AO93"/>
    <mergeCell ref="AP93:AR93"/>
    <mergeCell ref="S94:AM94"/>
    <mergeCell ref="AN94:AO94"/>
    <mergeCell ref="AP94:AR94"/>
    <mergeCell ref="S95:AM95"/>
    <mergeCell ref="AN95:AO95"/>
    <mergeCell ref="AP95:AR95"/>
    <mergeCell ref="B88:AS88"/>
    <mergeCell ref="B89:J90"/>
    <mergeCell ref="K89:K90"/>
    <mergeCell ref="L89:M90"/>
    <mergeCell ref="AK89:AS90"/>
    <mergeCell ref="B92:N94"/>
    <mergeCell ref="S92:AM92"/>
    <mergeCell ref="AN92:AO92"/>
    <mergeCell ref="AP92:AR92"/>
    <mergeCell ref="S93:AM93"/>
    <mergeCell ref="E83:AM83"/>
    <mergeCell ref="AN83:AO83"/>
    <mergeCell ref="AP83:AR83"/>
    <mergeCell ref="B85:AS86"/>
    <mergeCell ref="B87:C87"/>
    <mergeCell ref="D87:Q87"/>
    <mergeCell ref="S87:AH87"/>
    <mergeCell ref="AJ87:AS87"/>
    <mergeCell ref="AN79:AO79"/>
    <mergeCell ref="AP79:AR79"/>
    <mergeCell ref="F80:AM80"/>
    <mergeCell ref="AN80:AO80"/>
    <mergeCell ref="AP80:AR80"/>
    <mergeCell ref="F81:AM81"/>
    <mergeCell ref="AN81:AO81"/>
    <mergeCell ref="AP81:AR81"/>
    <mergeCell ref="AN77:AO77"/>
    <mergeCell ref="AP77:AR77"/>
    <mergeCell ref="D78:D79"/>
    <mergeCell ref="F78:H78"/>
    <mergeCell ref="I78:Q78"/>
    <mergeCell ref="R78:Z78"/>
    <mergeCell ref="AA78:AG78"/>
    <mergeCell ref="AH78:AM78"/>
    <mergeCell ref="AN78:AO78"/>
    <mergeCell ref="AP78:AR78"/>
    <mergeCell ref="E74:E81"/>
    <mergeCell ref="F77:AM77"/>
    <mergeCell ref="F79:H79"/>
    <mergeCell ref="AA79:AB79"/>
    <mergeCell ref="AH79:AM79"/>
    <mergeCell ref="AP75:AR75"/>
    <mergeCell ref="J76:Q76"/>
    <mergeCell ref="S76:Z76"/>
    <mergeCell ref="AA76:AB76"/>
    <mergeCell ref="AC76:AD76"/>
    <mergeCell ref="AE76:AF76"/>
    <mergeCell ref="AG76:AM76"/>
    <mergeCell ref="AN76:AO76"/>
    <mergeCell ref="AP76:AR76"/>
    <mergeCell ref="J75:Q75"/>
    <mergeCell ref="S75:Z75"/>
    <mergeCell ref="AA75:AB75"/>
    <mergeCell ref="AC75:AD75"/>
    <mergeCell ref="AE75:AF75"/>
    <mergeCell ref="AG75:AM75"/>
    <mergeCell ref="AN75:AO75"/>
    <mergeCell ref="J74:Q74"/>
    <mergeCell ref="S74:Z74"/>
    <mergeCell ref="AA74:AB74"/>
    <mergeCell ref="AC74:AD74"/>
    <mergeCell ref="AE74:AF74"/>
    <mergeCell ref="AN72:AO72"/>
    <mergeCell ref="AP72:AR72"/>
    <mergeCell ref="F73:H73"/>
    <mergeCell ref="J73:Q73"/>
    <mergeCell ref="R73:Z73"/>
    <mergeCell ref="AA73:AD73"/>
    <mergeCell ref="AE73:AM73"/>
    <mergeCell ref="AN73:AR73"/>
    <mergeCell ref="AG74:AM74"/>
    <mergeCell ref="AN74:AO74"/>
    <mergeCell ref="AP74:AR74"/>
    <mergeCell ref="B65:C81"/>
    <mergeCell ref="E65:E72"/>
    <mergeCell ref="F65:AM65"/>
    <mergeCell ref="AN65:AO65"/>
    <mergeCell ref="AP65:AR65"/>
    <mergeCell ref="F66:AM66"/>
    <mergeCell ref="AN66:AO66"/>
    <mergeCell ref="AP66:AR66"/>
    <mergeCell ref="F67:AM67"/>
    <mergeCell ref="F70:AM70"/>
    <mergeCell ref="AN70:AO70"/>
    <mergeCell ref="AP70:AR70"/>
    <mergeCell ref="F71:AM71"/>
    <mergeCell ref="AN71:AO71"/>
    <mergeCell ref="AP71:AR71"/>
    <mergeCell ref="AN67:AO67"/>
    <mergeCell ref="AP67:AR67"/>
    <mergeCell ref="F68:AM68"/>
    <mergeCell ref="AN68:AO68"/>
    <mergeCell ref="AP68:AR68"/>
    <mergeCell ref="F69:AM69"/>
    <mergeCell ref="AN69:AO69"/>
    <mergeCell ref="AP69:AR69"/>
    <mergeCell ref="F72:AM72"/>
    <mergeCell ref="E58:AM58"/>
    <mergeCell ref="AN58:AO58"/>
    <mergeCell ref="AP58:AR58"/>
    <mergeCell ref="AQ59:AS59"/>
    <mergeCell ref="AN62:AS62"/>
    <mergeCell ref="E63:O63"/>
    <mergeCell ref="P63:Q63"/>
    <mergeCell ref="R63:AF63"/>
    <mergeCell ref="AG63:AM63"/>
    <mergeCell ref="AN63:AO63"/>
    <mergeCell ref="AP63:AR63"/>
    <mergeCell ref="E56:AM56"/>
    <mergeCell ref="AN56:AO56"/>
    <mergeCell ref="AP56:AR56"/>
    <mergeCell ref="E57:AM57"/>
    <mergeCell ref="AN57:AO57"/>
    <mergeCell ref="AP57:AR57"/>
    <mergeCell ref="AN54:AO55"/>
    <mergeCell ref="AP54:AR55"/>
    <mergeCell ref="AS54:AS55"/>
    <mergeCell ref="U55:Z55"/>
    <mergeCell ref="AA55:AB55"/>
    <mergeCell ref="AC55:AM55"/>
    <mergeCell ref="E54:Q55"/>
    <mergeCell ref="R54:S55"/>
    <mergeCell ref="T54:T55"/>
    <mergeCell ref="U54:Z54"/>
    <mergeCell ref="AA54:AB54"/>
    <mergeCell ref="AC54:AM54"/>
    <mergeCell ref="AC52:AM52"/>
    <mergeCell ref="AN52:AO53"/>
    <mergeCell ref="AP52:AR53"/>
    <mergeCell ref="AS52:AS53"/>
    <mergeCell ref="U53:Z53"/>
    <mergeCell ref="AA53:AB53"/>
    <mergeCell ref="AC53:AM53"/>
    <mergeCell ref="D52:D53"/>
    <mergeCell ref="E52:Q53"/>
    <mergeCell ref="R52:S53"/>
    <mergeCell ref="T52:T53"/>
    <mergeCell ref="U52:Z52"/>
    <mergeCell ref="AA52:AB52"/>
    <mergeCell ref="E50:AM50"/>
    <mergeCell ref="AN50:AO50"/>
    <mergeCell ref="AP50:AR50"/>
    <mergeCell ref="R51:Z51"/>
    <mergeCell ref="AC51:AM51"/>
    <mergeCell ref="AN51:AO51"/>
    <mergeCell ref="AP51:AR51"/>
    <mergeCell ref="E48:AM48"/>
    <mergeCell ref="AN48:AO48"/>
    <mergeCell ref="AP48:AR48"/>
    <mergeCell ref="E49:AM49"/>
    <mergeCell ref="AN49:AO49"/>
    <mergeCell ref="AP49:AR49"/>
    <mergeCell ref="E46:AM46"/>
    <mergeCell ref="AN46:AO46"/>
    <mergeCell ref="AP46:AR46"/>
    <mergeCell ref="E47:AM47"/>
    <mergeCell ref="AN47:AO47"/>
    <mergeCell ref="AP47:AR47"/>
    <mergeCell ref="E44:AM44"/>
    <mergeCell ref="AN44:AO44"/>
    <mergeCell ref="AP44:AR44"/>
    <mergeCell ref="E45:AM45"/>
    <mergeCell ref="AN45:AO45"/>
    <mergeCell ref="AP45:AR45"/>
    <mergeCell ref="AN39:AO39"/>
    <mergeCell ref="AP42:AR42"/>
    <mergeCell ref="H43:V43"/>
    <mergeCell ref="W43:X43"/>
    <mergeCell ref="Y43:AM43"/>
    <mergeCell ref="AN43:AO43"/>
    <mergeCell ref="AP43:AR43"/>
    <mergeCell ref="H41:V41"/>
    <mergeCell ref="W41:X41"/>
    <mergeCell ref="Y41:AM41"/>
    <mergeCell ref="AN41:AO41"/>
    <mergeCell ref="AP41:AR41"/>
    <mergeCell ref="AP39:AR39"/>
    <mergeCell ref="H40:V40"/>
    <mergeCell ref="W40:X40"/>
    <mergeCell ref="Y40:AM40"/>
    <mergeCell ref="AN40:AO40"/>
    <mergeCell ref="AP40:AR40"/>
    <mergeCell ref="F37:V37"/>
    <mergeCell ref="W37:AM37"/>
    <mergeCell ref="AN37:AS37"/>
    <mergeCell ref="F38:F43"/>
    <mergeCell ref="G38:G41"/>
    <mergeCell ref="H38:V38"/>
    <mergeCell ref="W38:X38"/>
    <mergeCell ref="Y38:AM38"/>
    <mergeCell ref="AN38:AO38"/>
    <mergeCell ref="AP38:AR38"/>
    <mergeCell ref="G42:G43"/>
    <mergeCell ref="H42:V42"/>
    <mergeCell ref="W42:X42"/>
    <mergeCell ref="Y42:AM42"/>
    <mergeCell ref="AN42:AO42"/>
    <mergeCell ref="H39:V39"/>
    <mergeCell ref="W39:X39"/>
    <mergeCell ref="Y39:AM39"/>
    <mergeCell ref="AN29:AO29"/>
    <mergeCell ref="AP29:AR29"/>
    <mergeCell ref="AP35:AR35"/>
    <mergeCell ref="H36:V36"/>
    <mergeCell ref="W36:X36"/>
    <mergeCell ref="Y36:AM36"/>
    <mergeCell ref="AN36:AO36"/>
    <mergeCell ref="AP36:AR36"/>
    <mergeCell ref="F34:G36"/>
    <mergeCell ref="H34:V34"/>
    <mergeCell ref="W34:X34"/>
    <mergeCell ref="Y34:AM34"/>
    <mergeCell ref="AN34:AO34"/>
    <mergeCell ref="AP34:AR34"/>
    <mergeCell ref="H35:V35"/>
    <mergeCell ref="W35:X35"/>
    <mergeCell ref="Y35:AM35"/>
    <mergeCell ref="AN35:AO35"/>
    <mergeCell ref="B31:C58"/>
    <mergeCell ref="D31:V31"/>
    <mergeCell ref="W31:AM31"/>
    <mergeCell ref="AN31:AS31"/>
    <mergeCell ref="E32:E43"/>
    <mergeCell ref="F32:V32"/>
    <mergeCell ref="W32:X32"/>
    <mergeCell ref="E27:AM27"/>
    <mergeCell ref="AN27:AO27"/>
    <mergeCell ref="AP27:AR27"/>
    <mergeCell ref="M28:O28"/>
    <mergeCell ref="P28:S28"/>
    <mergeCell ref="U28:V28"/>
    <mergeCell ref="W28:AB28"/>
    <mergeCell ref="AH28:AM28"/>
    <mergeCell ref="AN28:AO28"/>
    <mergeCell ref="AP28:AR28"/>
    <mergeCell ref="Y32:AM32"/>
    <mergeCell ref="AN32:AO32"/>
    <mergeCell ref="AP32:AR32"/>
    <mergeCell ref="F33:V33"/>
    <mergeCell ref="W33:AM33"/>
    <mergeCell ref="AN33:AS33"/>
    <mergeCell ref="E29:AM29"/>
    <mergeCell ref="G22:V22"/>
    <mergeCell ref="W22:X22"/>
    <mergeCell ref="Y22:AM22"/>
    <mergeCell ref="AN22:AO22"/>
    <mergeCell ref="AP22:AR22"/>
    <mergeCell ref="E25:AM25"/>
    <mergeCell ref="AN25:AO25"/>
    <mergeCell ref="AP25:AR25"/>
    <mergeCell ref="E26:AM26"/>
    <mergeCell ref="AN26:AO26"/>
    <mergeCell ref="AP26:AR26"/>
    <mergeCell ref="G23:V23"/>
    <mergeCell ref="W23:X23"/>
    <mergeCell ref="Y23:AM23"/>
    <mergeCell ref="AN23:AO23"/>
    <mergeCell ref="AP23:AR23"/>
    <mergeCell ref="G24:V24"/>
    <mergeCell ref="W24:X24"/>
    <mergeCell ref="Y24:AM24"/>
    <mergeCell ref="AN24:AO24"/>
    <mergeCell ref="AP24:AR24"/>
    <mergeCell ref="G20:V20"/>
    <mergeCell ref="W20:X20"/>
    <mergeCell ref="Y20:AM20"/>
    <mergeCell ref="AN20:AO20"/>
    <mergeCell ref="AP20:AR20"/>
    <mergeCell ref="G21:V21"/>
    <mergeCell ref="W21:X21"/>
    <mergeCell ref="Y21:AM21"/>
    <mergeCell ref="AN21:AO21"/>
    <mergeCell ref="AP21:AR21"/>
    <mergeCell ref="F15:V15"/>
    <mergeCell ref="W15:AM15"/>
    <mergeCell ref="AN15:AS15"/>
    <mergeCell ref="F16:F24"/>
    <mergeCell ref="G16:V16"/>
    <mergeCell ref="W16:X16"/>
    <mergeCell ref="Y16:AM16"/>
    <mergeCell ref="AN16:AO16"/>
    <mergeCell ref="AP16:AR16"/>
    <mergeCell ref="G17:V17"/>
    <mergeCell ref="W17:X17"/>
    <mergeCell ref="Y17:AM17"/>
    <mergeCell ref="AN17:AO17"/>
    <mergeCell ref="AP17:AR17"/>
    <mergeCell ref="G18:V18"/>
    <mergeCell ref="W18:X18"/>
    <mergeCell ref="Y18:AM18"/>
    <mergeCell ref="AN18:AO18"/>
    <mergeCell ref="AP18:AR18"/>
    <mergeCell ref="G19:V19"/>
    <mergeCell ref="W19:X19"/>
    <mergeCell ref="Y19:AM19"/>
    <mergeCell ref="AN19:AO19"/>
    <mergeCell ref="AP19:AR19"/>
    <mergeCell ref="AN12:AO12"/>
    <mergeCell ref="AP12:AR12"/>
    <mergeCell ref="G13:V13"/>
    <mergeCell ref="W13:X13"/>
    <mergeCell ref="Y13:AM13"/>
    <mergeCell ref="AN13:AO13"/>
    <mergeCell ref="AP13:AR13"/>
    <mergeCell ref="G14:V14"/>
    <mergeCell ref="W14:X14"/>
    <mergeCell ref="Y14:AM14"/>
    <mergeCell ref="AN14:AO14"/>
    <mergeCell ref="AP14:AR14"/>
    <mergeCell ref="AP9:AR9"/>
    <mergeCell ref="G10:V10"/>
    <mergeCell ref="W10:X10"/>
    <mergeCell ref="Y10:AM10"/>
    <mergeCell ref="AN10:AO10"/>
    <mergeCell ref="AP10:AR10"/>
    <mergeCell ref="B8:C29"/>
    <mergeCell ref="D8:V8"/>
    <mergeCell ref="W8:AM8"/>
    <mergeCell ref="AN8:AS8"/>
    <mergeCell ref="E9:E24"/>
    <mergeCell ref="F9:F14"/>
    <mergeCell ref="G9:V9"/>
    <mergeCell ref="W9:X9"/>
    <mergeCell ref="Y9:AM9"/>
    <mergeCell ref="AN9:AO9"/>
    <mergeCell ref="G11:V11"/>
    <mergeCell ref="W11:X11"/>
    <mergeCell ref="Y11:AM11"/>
    <mergeCell ref="AN11:AO11"/>
    <mergeCell ref="AP11:AR11"/>
    <mergeCell ref="G12:V12"/>
    <mergeCell ref="W12:X12"/>
    <mergeCell ref="Y12:AM12"/>
    <mergeCell ref="M4:T4"/>
    <mergeCell ref="V4:AN5"/>
    <mergeCell ref="AQ4:AQ5"/>
    <mergeCell ref="M5:N6"/>
    <mergeCell ref="O5:S5"/>
    <mergeCell ref="O6:S6"/>
    <mergeCell ref="V6:W6"/>
    <mergeCell ref="X6:AK6"/>
    <mergeCell ref="AM6:AN6"/>
  </mergeCells>
  <conditionalFormatting sqref="R63:AF63">
    <cfRule type="cellIs" dxfId="1" priority="4" operator="greaterThan">
      <formula>0</formula>
    </cfRule>
  </conditionalFormatting>
  <conditionalFormatting sqref="X6">
    <cfRule type="colorScale" priority="1">
      <colorScale>
        <cfvo type="num" val="0"/>
        <cfvo type="num" val="1"/>
        <color rgb="FFFF0000"/>
        <color rgb="FFFFEF9C"/>
      </colorScale>
    </cfRule>
    <cfRule type="colorScale" priority="2">
      <colorScale>
        <cfvo type="num" val="0"/>
        <cfvo type="num" val="1"/>
        <color theme="0" tint="-4.9989318521683403E-2"/>
        <color theme="3" tint="0.39997558519241921"/>
      </colorScale>
    </cfRule>
  </conditionalFormatting>
  <conditionalFormatting sqref="AP63:AR63">
    <cfRule type="cellIs" dxfId="0" priority="3" operator="greaterThan">
      <formula>0</formula>
    </cfRule>
  </conditionalFormatting>
  <dataValidations count="1">
    <dataValidation allowBlank="1" sqref="AM6 AO6 X6 E3"/>
  </dataValidations>
  <pageMargins left="0.23622047244094491" right="0.23622047244094491" top="0.35433070866141736" bottom="0.35433070866141736" header="0.31496062992125984" footer="0.31496062992125984"/>
  <pageSetup paperSize="9" scale="47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6"/>
  <sheetViews>
    <sheetView workbookViewId="0">
      <selection activeCell="C16" sqref="C16"/>
    </sheetView>
  </sheetViews>
  <sheetFormatPr baseColWidth="10" defaultRowHeight="15" x14ac:dyDescent="0.25"/>
  <cols>
    <col min="2" max="2" width="16.85546875" customWidth="1"/>
  </cols>
  <sheetData>
    <row r="2" spans="2:5" ht="18.75" x14ac:dyDescent="0.3">
      <c r="B2" s="314" t="s">
        <v>177</v>
      </c>
      <c r="C2" s="315" t="s">
        <v>178</v>
      </c>
      <c r="D2" s="315"/>
      <c r="E2" s="315"/>
    </row>
    <row r="3" spans="2:5" ht="18.75" x14ac:dyDescent="0.3">
      <c r="B3" s="314"/>
      <c r="C3" s="78">
        <v>2024</v>
      </c>
      <c r="D3" s="78">
        <v>2025</v>
      </c>
      <c r="E3" s="78">
        <v>2026</v>
      </c>
    </row>
    <row r="4" spans="2:5" ht="17.25" x14ac:dyDescent="0.3">
      <c r="B4" s="35" t="s">
        <v>167</v>
      </c>
      <c r="C4" s="38">
        <v>64666</v>
      </c>
      <c r="D4" s="38">
        <v>67429</v>
      </c>
      <c r="E4" s="38">
        <v>69751</v>
      </c>
    </row>
    <row r="5" spans="2:5" ht="17.25" x14ac:dyDescent="0.3">
      <c r="B5" s="35" t="s">
        <v>169</v>
      </c>
      <c r="C5" s="38">
        <v>64343</v>
      </c>
      <c r="D5" s="38">
        <v>67294</v>
      </c>
      <c r="E5" s="38">
        <v>69611</v>
      </c>
    </row>
    <row r="6" spans="2:5" ht="17.25" x14ac:dyDescent="0.3">
      <c r="B6" s="35" t="s">
        <v>179</v>
      </c>
      <c r="C6" s="38">
        <v>64793</v>
      </c>
      <c r="D6" s="38">
        <v>68034</v>
      </c>
      <c r="E6" s="38">
        <v>69889</v>
      </c>
    </row>
    <row r="7" spans="2:5" ht="17.25" x14ac:dyDescent="0.3">
      <c r="B7" s="35" t="s">
        <v>180</v>
      </c>
      <c r="C7" s="38">
        <v>65182</v>
      </c>
      <c r="D7" s="38">
        <v>68306</v>
      </c>
      <c r="E7" s="38">
        <v>69889</v>
      </c>
    </row>
    <row r="8" spans="2:5" ht="17.25" x14ac:dyDescent="0.3">
      <c r="B8" s="35" t="s">
        <v>181</v>
      </c>
      <c r="C8" s="38">
        <v>65443</v>
      </c>
      <c r="D8" s="38">
        <v>68648</v>
      </c>
      <c r="E8" s="38">
        <v>70588</v>
      </c>
    </row>
    <row r="9" spans="2:5" ht="17.25" x14ac:dyDescent="0.3">
      <c r="B9" s="35" t="s">
        <v>182</v>
      </c>
      <c r="C9" s="38">
        <v>65770</v>
      </c>
      <c r="D9" s="38">
        <v>68785</v>
      </c>
      <c r="E9" s="38">
        <v>71506</v>
      </c>
    </row>
    <row r="10" spans="2:5" ht="17.25" x14ac:dyDescent="0.3">
      <c r="B10" s="35" t="s">
        <v>183</v>
      </c>
      <c r="C10" s="38">
        <v>65967</v>
      </c>
      <c r="D10" s="38">
        <v>68923</v>
      </c>
      <c r="E10" s="38">
        <v>71649</v>
      </c>
    </row>
    <row r="11" spans="2:5" ht="17.25" x14ac:dyDescent="0.3">
      <c r="B11" s="35" t="s">
        <v>184</v>
      </c>
      <c r="C11" s="38">
        <v>65901</v>
      </c>
      <c r="D11" s="38">
        <v>68647</v>
      </c>
      <c r="E11" s="38">
        <v>71649</v>
      </c>
    </row>
    <row r="12" spans="2:5" ht="17.25" x14ac:dyDescent="0.3">
      <c r="B12" s="35" t="s">
        <v>185</v>
      </c>
      <c r="C12" s="38">
        <v>66362</v>
      </c>
      <c r="D12" s="38">
        <v>69265</v>
      </c>
      <c r="E12" s="38"/>
    </row>
    <row r="13" spans="2:5" ht="17.25" x14ac:dyDescent="0.3">
      <c r="B13" s="35" t="s">
        <v>186</v>
      </c>
      <c r="C13" s="38">
        <v>66561</v>
      </c>
      <c r="D13" s="38">
        <v>69265</v>
      </c>
      <c r="E13" s="38"/>
    </row>
    <row r="14" spans="2:5" ht="17.25" x14ac:dyDescent="0.3">
      <c r="B14" s="35" t="s">
        <v>187</v>
      </c>
      <c r="C14" s="38">
        <v>66628</v>
      </c>
      <c r="D14" s="38">
        <v>69542</v>
      </c>
      <c r="E14" s="38"/>
    </row>
    <row r="15" spans="2:5" ht="17.25" x14ac:dyDescent="0.3">
      <c r="B15" s="35" t="s">
        <v>188</v>
      </c>
      <c r="C15" s="38">
        <v>69294</v>
      </c>
      <c r="D15" s="38">
        <v>69542</v>
      </c>
      <c r="E15" s="38"/>
    </row>
    <row r="16" spans="2:5" ht="17.25" x14ac:dyDescent="0.3">
      <c r="B16" s="35" t="s">
        <v>167</v>
      </c>
      <c r="C16" s="38"/>
      <c r="D16" s="38"/>
      <c r="E16" s="38"/>
    </row>
  </sheetData>
  <mergeCells count="2">
    <mergeCell ref="B2:B3"/>
    <mergeCell ref="C2:E2"/>
  </mergeCells>
  <phoneticPr fontId="2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L. COMPRAS</vt:lpstr>
      <vt:lpstr>L. VENTAS</vt:lpstr>
      <vt:lpstr>Honorarios</vt:lpstr>
      <vt:lpstr>FORMULARIO 29</vt:lpstr>
      <vt:lpstr>UTM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</dc:creator>
  <cp:lastModifiedBy>Insuco</cp:lastModifiedBy>
  <cp:lastPrinted>2024-09-27T16:21:46Z</cp:lastPrinted>
  <dcterms:created xsi:type="dcterms:W3CDTF">2013-07-08T12:18:36Z</dcterms:created>
  <dcterms:modified xsi:type="dcterms:W3CDTF">2026-08-07T13:17:14Z</dcterms:modified>
</cp:coreProperties>
</file>