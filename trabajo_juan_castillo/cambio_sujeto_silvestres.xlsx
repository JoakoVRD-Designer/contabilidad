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ámetros" sheetId="1" state="visible" r:id="rId1"/>
    <sheet xmlns:r="http://schemas.openxmlformats.org/officeDocument/2006/relationships" name="Facturas de compra" sheetId="2" state="visible" r:id="rId2"/>
    <sheet xmlns:r="http://schemas.openxmlformats.org/officeDocument/2006/relationships" name="Libro de compras" sheetId="3" state="visible" r:id="rId3"/>
    <sheet xmlns:r="http://schemas.openxmlformats.org/officeDocument/2006/relationships" name="Libro diario" sheetId="4" state="visible" r:id="rId4"/>
    <sheet xmlns:r="http://schemas.openxmlformats.org/officeDocument/2006/relationships" name="F29" sheetId="5" state="visible" r:id="rId5"/>
    <sheet xmlns:r="http://schemas.openxmlformats.org/officeDocument/2006/relationships" name="DJ retencion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0" fontId="2" fillId="0" borderId="0" pivotButton="0" quotePrefix="0" xfId="0"/>
    <xf numFmtId="9" fontId="2" fillId="0" borderId="0" pivotButton="0" quotePrefix="0" xfId="0"/>
    <xf numFmtId="3" fontId="2" fillId="0" borderId="0" pivotButton="0" quotePrefix="0" xfId="0"/>
    <xf numFmtId="0" fontId="3" fillId="2" borderId="0" applyAlignment="1" pivotButton="0" quotePrefix="0" xfId="0">
      <alignment horizontal="center" wrapText="1"/>
    </xf>
    <xf numFmtId="3" fontId="0" fillId="0" borderId="0" pivotButton="0" quotePrefix="0" xfId="0"/>
    <xf numFmtId="3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62" customWidth="1" min="1" max="1"/>
    <col width="36" customWidth="1" min="2" max="2"/>
  </cols>
  <sheetData>
    <row r="1">
      <c r="A1" s="1" t="inlineStr">
        <is>
          <t>Empresa compradora</t>
        </is>
      </c>
      <c r="B1" s="2" t="inlineStr">
        <is>
          <t>Silvestres del Ñuble SpA (ficticia)</t>
        </is>
      </c>
    </row>
    <row r="2">
      <c r="A2" s="1" t="inlineStr">
        <is>
          <t>RUT</t>
        </is>
      </c>
      <c r="B2" s="2" t="inlineStr">
        <is>
          <t>76.123.456-7 (ficticio)</t>
        </is>
      </c>
    </row>
    <row r="3">
      <c r="A3" s="1" t="inlineStr">
        <is>
          <t>Giro</t>
        </is>
      </c>
      <c r="B3" s="2" t="inlineStr">
        <is>
          <t>Compra y venta de productos silvestres</t>
        </is>
      </c>
    </row>
    <row r="4">
      <c r="A4" s="1" t="inlineStr">
        <is>
          <t>Período</t>
        </is>
      </c>
      <c r="B4" s="2" t="inlineStr">
        <is>
          <t>Junio 2026</t>
        </is>
      </c>
    </row>
    <row r="5">
      <c r="A5" s="1" t="inlineStr">
        <is>
          <t>Tasa de IVA</t>
        </is>
      </c>
      <c r="B5" s="3" t="n">
        <v>0.19</v>
      </c>
    </row>
    <row r="6">
      <c r="A6" s="1" t="inlineStr">
        <is>
          <t>Retención del IVA (1 = total) ⚠️ cambiar según la resolución</t>
        </is>
      </c>
      <c r="B6" s="4" t="n">
        <v>1</v>
      </c>
    </row>
    <row r="7">
      <c r="A7" s="1" t="inlineStr">
        <is>
          <t>Tasa de PPM ⚠️ ejemplo</t>
        </is>
      </c>
      <c r="B7" s="3" t="n">
        <v>0.01</v>
      </c>
    </row>
    <row r="8">
      <c r="A8" s="1" t="inlineStr">
        <is>
          <t>Venta neta del mes</t>
        </is>
      </c>
      <c r="B8" s="5" t="n">
        <v>6000000</v>
      </c>
    </row>
    <row r="10">
      <c r="A10" t="inlineStr">
        <is>
          <t>Datos inventados. Celdas azules = datos que puedes cambiar; todo lo demás se recalcula.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6" customWidth="1" min="3" max="3"/>
    <col width="14" customWidth="1" min="4" max="4"/>
    <col width="22" customWidth="1" min="5" max="5"/>
    <col width="8" customWidth="1" min="6" max="6"/>
    <col width="12" customWidth="1" min="7" max="7"/>
    <col width="14" customWidth="1" min="8" max="8"/>
    <col width="12" customWidth="1" min="9" max="9"/>
    <col width="14" customWidth="1" min="10" max="10"/>
    <col width="16" customWidth="1" min="11" max="11"/>
    <col width="18" customWidth="1" min="12" max="12"/>
  </cols>
  <sheetData>
    <row r="1">
      <c r="A1" s="6" t="inlineStr">
        <is>
          <t>Folio</t>
        </is>
      </c>
      <c r="B1" s="6" t="inlineStr">
        <is>
          <t>Fecha</t>
        </is>
      </c>
      <c r="C1" s="6" t="inlineStr">
        <is>
          <t>Proveedor</t>
        </is>
      </c>
      <c r="D1" s="6" t="inlineStr">
        <is>
          <t>RUT</t>
        </is>
      </c>
      <c r="E1" s="6" t="inlineStr">
        <is>
          <t>Producto</t>
        </is>
      </c>
      <c r="F1" s="6" t="inlineStr">
        <is>
          <t>Kilos</t>
        </is>
      </c>
      <c r="G1" s="6" t="inlineStr">
        <is>
          <t>Precio por kilo</t>
        </is>
      </c>
      <c r="H1" s="6" t="inlineStr">
        <is>
          <t>Neto</t>
        </is>
      </c>
      <c r="I1" s="6" t="inlineStr">
        <is>
          <t>IVA 19 %</t>
        </is>
      </c>
      <c r="J1" s="6" t="inlineStr">
        <is>
          <t>IVA retenido</t>
        </is>
      </c>
      <c r="K1" s="6" t="inlineStr">
        <is>
          <t>IVA que cobra el proveedor</t>
        </is>
      </c>
      <c r="L1" s="6" t="inlineStr">
        <is>
          <t>Total a pagar al proveedor</t>
        </is>
      </c>
    </row>
    <row r="2">
      <c r="A2" s="2" t="n">
        <v>101</v>
      </c>
      <c r="B2" s="2" t="inlineStr">
        <is>
          <t>03-06-2026</t>
        </is>
      </c>
      <c r="C2" s="2" t="inlineStr">
        <is>
          <t>Juan Pérez (recolector)</t>
        </is>
      </c>
      <c r="D2" s="2" t="inlineStr">
        <is>
          <t>11.111.111-1</t>
        </is>
      </c>
      <c r="E2" s="2" t="inlineStr">
        <is>
          <t>Rosa mosqueta seca</t>
        </is>
      </c>
      <c r="F2" s="5" t="n">
        <v>1200</v>
      </c>
      <c r="G2" s="5" t="n">
        <v>1500</v>
      </c>
      <c r="H2" s="7">
        <f>F2*G2</f>
        <v/>
      </c>
      <c r="I2" s="7">
        <f>ROUND(H2*Parámetros!$B$5,0)</f>
        <v/>
      </c>
      <c r="J2" s="7">
        <f>ROUND(I2*Parámetros!$B$6,0)</f>
        <v/>
      </c>
      <c r="K2" s="7">
        <f>I2-J2</f>
        <v/>
      </c>
      <c r="L2" s="7">
        <f>H2+K2</f>
        <v/>
      </c>
    </row>
    <row r="3">
      <c r="A3" s="2" t="n">
        <v>102</v>
      </c>
      <c r="B3" s="2" t="inlineStr">
        <is>
          <t>10-06-2026</t>
        </is>
      </c>
      <c r="C3" s="2" t="inlineStr">
        <is>
          <t>María Soto (recolectora)</t>
        </is>
      </c>
      <c r="D3" s="2" t="inlineStr">
        <is>
          <t>12.222.222-2</t>
        </is>
      </c>
      <c r="E3" s="2" t="inlineStr">
        <is>
          <t>Hongos silvestres</t>
        </is>
      </c>
      <c r="F3" s="5" t="n">
        <v>300</v>
      </c>
      <c r="G3" s="5" t="n">
        <v>4000</v>
      </c>
      <c r="H3" s="7">
        <f>F3*G3</f>
        <v/>
      </c>
      <c r="I3" s="7">
        <f>ROUND(H3*Parámetros!$B$5,0)</f>
        <v/>
      </c>
      <c r="J3" s="7">
        <f>ROUND(I3*Parámetros!$B$6,0)</f>
        <v/>
      </c>
      <c r="K3" s="7">
        <f>I3-J3</f>
        <v/>
      </c>
      <c r="L3" s="7">
        <f>H3+K3</f>
        <v/>
      </c>
    </row>
    <row r="4">
      <c r="A4" s="2" t="n">
        <v>103</v>
      </c>
      <c r="B4" s="2" t="inlineStr">
        <is>
          <t>17-06-2026</t>
        </is>
      </c>
      <c r="C4" s="2" t="inlineStr">
        <is>
          <t>Pedro Núñez (recolector)</t>
        </is>
      </c>
      <c r="D4" s="2" t="inlineStr">
        <is>
          <t>13.333.333-3</t>
        </is>
      </c>
      <c r="E4" s="2" t="inlineStr">
        <is>
          <t>Mora silvestre</t>
        </is>
      </c>
      <c r="F4" s="5" t="n">
        <v>500</v>
      </c>
      <c r="G4" s="5" t="n">
        <v>1600</v>
      </c>
      <c r="H4" s="7">
        <f>F4*G4</f>
        <v/>
      </c>
      <c r="I4" s="7">
        <f>ROUND(H4*Parámetros!$B$5,0)</f>
        <v/>
      </c>
      <c r="J4" s="7">
        <f>ROUND(I4*Parámetros!$B$6,0)</f>
        <v/>
      </c>
      <c r="K4" s="7">
        <f>I4-J4</f>
        <v/>
      </c>
      <c r="L4" s="7">
        <f>H4+K4</f>
        <v/>
      </c>
    </row>
    <row r="5">
      <c r="A5" s="1" t="inlineStr">
        <is>
          <t>TOTAL</t>
        </is>
      </c>
      <c r="F5" s="7" t="n"/>
      <c r="G5" s="7" t="n"/>
      <c r="H5" s="8">
        <f>SUM(H2:H4)</f>
        <v/>
      </c>
      <c r="I5" s="8">
        <f>SUM(I2:I4)</f>
        <v/>
      </c>
      <c r="J5" s="8">
        <f>SUM(J2:J4)</f>
        <v/>
      </c>
      <c r="K5" s="8">
        <f>SUM(K2:K4)</f>
        <v/>
      </c>
      <c r="L5" s="8">
        <f>SUM(L2:L4)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30" customWidth="1" min="3" max="3"/>
    <col width="8" customWidth="1" min="4" max="4"/>
    <col width="14" customWidth="1" min="5" max="5"/>
    <col width="26" customWidth="1" min="6" max="6"/>
    <col width="14" customWidth="1" min="7" max="7"/>
    <col width="18" customWidth="1" min="8" max="8"/>
    <col width="14" customWidth="1" min="9" max="9"/>
    <col width="14" customWidth="1" min="10" max="10"/>
  </cols>
  <sheetData>
    <row r="1">
      <c r="A1" s="6" t="inlineStr">
        <is>
          <t>N°</t>
        </is>
      </c>
      <c r="B1" s="6" t="inlineStr">
        <is>
          <t>Fecha</t>
        </is>
      </c>
      <c r="C1" s="6" t="inlineStr">
        <is>
          <t>Tipo de documento</t>
        </is>
      </c>
      <c r="D1" s="6" t="inlineStr">
        <is>
          <t>Folio</t>
        </is>
      </c>
      <c r="E1" s="6" t="inlineStr">
        <is>
          <t>RUT proveedor</t>
        </is>
      </c>
      <c r="F1" s="6" t="inlineStr">
        <is>
          <t>Razón social</t>
        </is>
      </c>
      <c r="G1" s="6" t="inlineStr">
        <is>
          <t>Monto neto</t>
        </is>
      </c>
      <c r="H1" s="6" t="inlineStr">
        <is>
          <t>IVA recuperable (crédito)</t>
        </is>
      </c>
      <c r="I1" s="6" t="inlineStr">
        <is>
          <t>IVA retenido</t>
        </is>
      </c>
      <c r="J1" s="6" t="inlineStr">
        <is>
          <t>Monto total</t>
        </is>
      </c>
    </row>
    <row r="2">
      <c r="A2" t="n">
        <v>1</v>
      </c>
      <c r="B2">
        <f>'Facturas de compra'!B2</f>
        <v/>
      </c>
      <c r="C2" t="inlineStr">
        <is>
          <t>46 Factura de compra electrónica</t>
        </is>
      </c>
      <c r="D2">
        <f>'Facturas de compra'!A2</f>
        <v/>
      </c>
      <c r="E2">
        <f>'Facturas de compra'!D2</f>
        <v/>
      </c>
      <c r="F2">
        <f>'Facturas de compra'!C2</f>
        <v/>
      </c>
      <c r="G2" s="7">
        <f>'Facturas de compra'!H2</f>
        <v/>
      </c>
      <c r="H2" s="7">
        <f>'Facturas de compra'!I2</f>
        <v/>
      </c>
      <c r="I2" s="7">
        <f>'Facturas de compra'!J2</f>
        <v/>
      </c>
      <c r="J2" s="7">
        <f>'Facturas de compra'!L2</f>
        <v/>
      </c>
    </row>
    <row r="3">
      <c r="A3" t="n">
        <v>2</v>
      </c>
      <c r="B3">
        <f>'Facturas de compra'!B3</f>
        <v/>
      </c>
      <c r="C3" t="inlineStr">
        <is>
          <t>46 Factura de compra electrónica</t>
        </is>
      </c>
      <c r="D3">
        <f>'Facturas de compra'!A3</f>
        <v/>
      </c>
      <c r="E3">
        <f>'Facturas de compra'!D3</f>
        <v/>
      </c>
      <c r="F3">
        <f>'Facturas de compra'!C3</f>
        <v/>
      </c>
      <c r="G3" s="7">
        <f>'Facturas de compra'!H3</f>
        <v/>
      </c>
      <c r="H3" s="7">
        <f>'Facturas de compra'!I3</f>
        <v/>
      </c>
      <c r="I3" s="7">
        <f>'Facturas de compra'!J3</f>
        <v/>
      </c>
      <c r="J3" s="7">
        <f>'Facturas de compra'!L3</f>
        <v/>
      </c>
    </row>
    <row r="4">
      <c r="A4" t="n">
        <v>3</v>
      </c>
      <c r="B4">
        <f>'Facturas de compra'!B4</f>
        <v/>
      </c>
      <c r="C4" t="inlineStr">
        <is>
          <t>46 Factura de compra electrónica</t>
        </is>
      </c>
      <c r="D4">
        <f>'Facturas de compra'!A4</f>
        <v/>
      </c>
      <c r="E4">
        <f>'Facturas de compra'!D4</f>
        <v/>
      </c>
      <c r="F4">
        <f>'Facturas de compra'!C4</f>
        <v/>
      </c>
      <c r="G4" s="7">
        <f>'Facturas de compra'!H4</f>
        <v/>
      </c>
      <c r="H4" s="7">
        <f>'Facturas de compra'!I4</f>
        <v/>
      </c>
      <c r="I4" s="7">
        <f>'Facturas de compra'!J4</f>
        <v/>
      </c>
      <c r="J4" s="7">
        <f>'Facturas de compra'!L4</f>
        <v/>
      </c>
    </row>
    <row r="5">
      <c r="A5" s="1" t="inlineStr">
        <is>
          <t>TOTALES</t>
        </is>
      </c>
      <c r="G5" s="8">
        <f>SUM(G2:G4)</f>
        <v/>
      </c>
      <c r="H5" s="8">
        <f>SUM(H2:H4)</f>
        <v/>
      </c>
      <c r="I5" s="8">
        <f>SUM(I2:I4)</f>
        <v/>
      </c>
      <c r="J5" s="8">
        <f>SUM(J2:J4)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34" customWidth="1" min="3" max="3"/>
    <col width="52" customWidth="1" min="4" max="4"/>
    <col width="14" customWidth="1" min="5" max="5"/>
    <col width="14" customWidth="1" min="6" max="6"/>
    <col width="12" customWidth="1" min="7" max="7"/>
  </cols>
  <sheetData>
    <row r="1">
      <c r="A1" s="6" t="inlineStr">
        <is>
          <t>Asiento</t>
        </is>
      </c>
      <c r="B1" s="6" t="inlineStr">
        <is>
          <t>Fecha</t>
        </is>
      </c>
      <c r="C1" s="6" t="inlineStr">
        <is>
          <t>Cuenta</t>
        </is>
      </c>
      <c r="D1" s="6" t="inlineStr">
        <is>
          <t>Glosa</t>
        </is>
      </c>
      <c r="E1" s="6" t="inlineStr">
        <is>
          <t>Debe</t>
        </is>
      </c>
      <c r="F1" s="6" t="inlineStr">
        <is>
          <t>Haber</t>
        </is>
      </c>
    </row>
    <row r="2">
      <c r="A2" t="n">
        <v>1</v>
      </c>
      <c r="B2" t="inlineStr">
        <is>
          <t>03-06-2026</t>
        </is>
      </c>
      <c r="C2" t="inlineStr">
        <is>
          <t>1.1.13 Inventario mercaderías</t>
        </is>
      </c>
      <c r="D2" t="inlineStr">
        <is>
          <t>Factura de compra N°101: Rosa mosqueta seca</t>
        </is>
      </c>
      <c r="E2" s="7">
        <f>'Facturas de compra'!H2</f>
        <v/>
      </c>
      <c r="F2" s="7" t="n"/>
    </row>
    <row r="3">
      <c r="A3" t="n">
        <v>1</v>
      </c>
      <c r="B3" t="inlineStr">
        <is>
          <t>03-06-2026</t>
        </is>
      </c>
      <c r="C3" t="inlineStr">
        <is>
          <t>1.1.04 IVA crédito fiscal</t>
        </is>
      </c>
      <c r="D3" t="inlineStr">
        <is>
          <t>Factura de compra N°101: Rosa mosqueta seca</t>
        </is>
      </c>
      <c r="E3" s="7">
        <f>'Facturas de compra'!I2</f>
        <v/>
      </c>
      <c r="F3" s="7" t="n"/>
    </row>
    <row r="4">
      <c r="A4" t="n">
        <v>1</v>
      </c>
      <c r="B4" t="inlineStr">
        <is>
          <t>03-06-2026</t>
        </is>
      </c>
      <c r="C4" t="inlineStr">
        <is>
          <t>2.1.01 Proveedores</t>
        </is>
      </c>
      <c r="D4" t="inlineStr">
        <is>
          <t>Factura de compra N°101: Rosa mosqueta seca</t>
        </is>
      </c>
      <c r="E4" s="7" t="n"/>
      <c r="F4" s="7">
        <f>'Facturas de compra'!L2</f>
        <v/>
      </c>
    </row>
    <row r="5">
      <c r="A5" t="n">
        <v>1</v>
      </c>
      <c r="B5" t="inlineStr">
        <is>
          <t>03-06-2026</t>
        </is>
      </c>
      <c r="C5" t="inlineStr">
        <is>
          <t>2.1.09 IVA retenido por pagar</t>
        </is>
      </c>
      <c r="D5" t="inlineStr">
        <is>
          <t>Factura de compra N°101: Rosa mosqueta seca</t>
        </is>
      </c>
      <c r="E5" s="7" t="n"/>
      <c r="F5" s="7">
        <f>'Facturas de compra'!J2</f>
        <v/>
      </c>
    </row>
    <row r="6">
      <c r="A6" t="n">
        <v>2</v>
      </c>
      <c r="B6" t="inlineStr">
        <is>
          <t>10-06-2026</t>
        </is>
      </c>
      <c r="C6" t="inlineStr">
        <is>
          <t>1.1.13 Inventario mercaderías</t>
        </is>
      </c>
      <c r="D6" t="inlineStr">
        <is>
          <t>Factura de compra N°102: Hongos silvestres</t>
        </is>
      </c>
      <c r="E6" s="7">
        <f>'Facturas de compra'!H3</f>
        <v/>
      </c>
      <c r="F6" s="7" t="n"/>
    </row>
    <row r="7">
      <c r="A7" t="n">
        <v>2</v>
      </c>
      <c r="B7" t="inlineStr">
        <is>
          <t>10-06-2026</t>
        </is>
      </c>
      <c r="C7" t="inlineStr">
        <is>
          <t>1.1.04 IVA crédito fiscal</t>
        </is>
      </c>
      <c r="D7" t="inlineStr">
        <is>
          <t>Factura de compra N°102: Hongos silvestres</t>
        </is>
      </c>
      <c r="E7" s="7">
        <f>'Facturas de compra'!I3</f>
        <v/>
      </c>
      <c r="F7" s="7" t="n"/>
    </row>
    <row r="8">
      <c r="A8" t="n">
        <v>2</v>
      </c>
      <c r="B8" t="inlineStr">
        <is>
          <t>10-06-2026</t>
        </is>
      </c>
      <c r="C8" t="inlineStr">
        <is>
          <t>2.1.01 Proveedores</t>
        </is>
      </c>
      <c r="D8" t="inlineStr">
        <is>
          <t>Factura de compra N°102: Hongos silvestres</t>
        </is>
      </c>
      <c r="E8" s="7" t="n"/>
      <c r="F8" s="7">
        <f>'Facturas de compra'!L3</f>
        <v/>
      </c>
    </row>
    <row r="9">
      <c r="A9" t="n">
        <v>2</v>
      </c>
      <c r="B9" t="inlineStr">
        <is>
          <t>10-06-2026</t>
        </is>
      </c>
      <c r="C9" t="inlineStr">
        <is>
          <t>2.1.09 IVA retenido por pagar</t>
        </is>
      </c>
      <c r="D9" t="inlineStr">
        <is>
          <t>Factura de compra N°102: Hongos silvestres</t>
        </is>
      </c>
      <c r="E9" s="7" t="n"/>
      <c r="F9" s="7">
        <f>'Facturas de compra'!J3</f>
        <v/>
      </c>
    </row>
    <row r="10">
      <c r="A10" t="n">
        <v>3</v>
      </c>
      <c r="B10" t="inlineStr">
        <is>
          <t>17-06-2026</t>
        </is>
      </c>
      <c r="C10" t="inlineStr">
        <is>
          <t>1.1.13 Inventario mercaderías</t>
        </is>
      </c>
      <c r="D10" t="inlineStr">
        <is>
          <t>Factura de compra N°103: Mora silvestre</t>
        </is>
      </c>
      <c r="E10" s="7">
        <f>'Facturas de compra'!H4</f>
        <v/>
      </c>
      <c r="F10" s="7" t="n"/>
    </row>
    <row r="11">
      <c r="A11" t="n">
        <v>3</v>
      </c>
      <c r="B11" t="inlineStr">
        <is>
          <t>17-06-2026</t>
        </is>
      </c>
      <c r="C11" t="inlineStr">
        <is>
          <t>1.1.04 IVA crédito fiscal</t>
        </is>
      </c>
      <c r="D11" t="inlineStr">
        <is>
          <t>Factura de compra N°103: Mora silvestre</t>
        </is>
      </c>
      <c r="E11" s="7">
        <f>'Facturas de compra'!I4</f>
        <v/>
      </c>
      <c r="F11" s="7" t="n"/>
    </row>
    <row r="12">
      <c r="A12" t="n">
        <v>3</v>
      </c>
      <c r="B12" t="inlineStr">
        <is>
          <t>17-06-2026</t>
        </is>
      </c>
      <c r="C12" t="inlineStr">
        <is>
          <t>2.1.01 Proveedores</t>
        </is>
      </c>
      <c r="D12" t="inlineStr">
        <is>
          <t>Factura de compra N°103: Mora silvestre</t>
        </is>
      </c>
      <c r="E12" s="7" t="n"/>
      <c r="F12" s="7">
        <f>'Facturas de compra'!L4</f>
        <v/>
      </c>
    </row>
    <row r="13">
      <c r="A13" t="n">
        <v>3</v>
      </c>
      <c r="B13" t="inlineStr">
        <is>
          <t>17-06-2026</t>
        </is>
      </c>
      <c r="C13" t="inlineStr">
        <is>
          <t>2.1.09 IVA retenido por pagar</t>
        </is>
      </c>
      <c r="D13" t="inlineStr">
        <is>
          <t>Factura de compra N°103: Mora silvestre</t>
        </is>
      </c>
      <c r="E13" s="7" t="n"/>
      <c r="F13" s="7">
        <f>'Facturas de compra'!J4</f>
        <v/>
      </c>
    </row>
    <row r="14">
      <c r="A14" t="n">
        <v>4</v>
      </c>
      <c r="B14" t="inlineStr">
        <is>
          <t>20-06-2026</t>
        </is>
      </c>
      <c r="C14" t="inlineStr">
        <is>
          <t>2.1.01 Proveedores</t>
        </is>
      </c>
      <c r="D14" t="inlineStr">
        <is>
          <t>Pago a los proveedores</t>
        </is>
      </c>
      <c r="E14" s="7" t="n">
        <v>3800000</v>
      </c>
      <c r="F14" s="7" t="n"/>
    </row>
    <row r="15">
      <c r="A15" t="n">
        <v>4</v>
      </c>
      <c r="B15" t="inlineStr">
        <is>
          <t>20-06-2026</t>
        </is>
      </c>
      <c r="C15" t="inlineStr">
        <is>
          <t>1.1.02 Banco</t>
        </is>
      </c>
      <c r="D15" t="inlineStr">
        <is>
          <t>Pago a los proveedores</t>
        </is>
      </c>
      <c r="E15" s="7" t="n"/>
      <c r="F15" s="7" t="n">
        <v>3800000</v>
      </c>
    </row>
    <row r="16">
      <c r="A16" t="n">
        <v>5</v>
      </c>
      <c r="B16" t="inlineStr">
        <is>
          <t>25-06-2026</t>
        </is>
      </c>
      <c r="C16" t="inlineStr">
        <is>
          <t>1.1.02 Banco</t>
        </is>
      </c>
      <c r="D16" t="inlineStr">
        <is>
          <t>Venta del mes con IVA débito</t>
        </is>
      </c>
      <c r="E16" s="7" t="n">
        <v>7140000</v>
      </c>
      <c r="F16" s="7" t="n"/>
    </row>
    <row r="17">
      <c r="A17" t="n">
        <v>5</v>
      </c>
      <c r="B17" t="inlineStr">
        <is>
          <t>25-06-2026</t>
        </is>
      </c>
      <c r="C17" t="inlineStr">
        <is>
          <t>4.1.01 Ventas</t>
        </is>
      </c>
      <c r="D17" t="inlineStr">
        <is>
          <t>Venta del mes con IVA débito</t>
        </is>
      </c>
      <c r="E17" s="7" t="n"/>
      <c r="F17" s="7" t="n">
        <v>6000000</v>
      </c>
    </row>
    <row r="18">
      <c r="A18" t="n">
        <v>5</v>
      </c>
      <c r="B18" t="inlineStr">
        <is>
          <t>25-06-2026</t>
        </is>
      </c>
      <c r="C18" t="inlineStr">
        <is>
          <t>2.1.02 IVA débito fiscal</t>
        </is>
      </c>
      <c r="D18" t="inlineStr">
        <is>
          <t>Venta del mes con IVA débito</t>
        </is>
      </c>
      <c r="E18" s="7" t="n"/>
      <c r="F18" s="7" t="n">
        <v>1140000</v>
      </c>
    </row>
    <row r="19">
      <c r="A19" t="n">
        <v>6</v>
      </c>
      <c r="B19" t="inlineStr">
        <is>
          <t>30-06-2026</t>
        </is>
      </c>
      <c r="C19" t="inlineStr">
        <is>
          <t>2.1.02 IVA débito fiscal</t>
        </is>
      </c>
      <c r="D19" t="inlineStr">
        <is>
          <t>F29: débito, IVA retenido, crédito y PPM</t>
        </is>
      </c>
      <c r="E19" s="7" t="n">
        <v>1140000</v>
      </c>
      <c r="F19" s="7" t="n"/>
    </row>
    <row r="20">
      <c r="A20" t="n">
        <v>6</v>
      </c>
      <c r="B20" t="inlineStr">
        <is>
          <t>30-06-2026</t>
        </is>
      </c>
      <c r="C20" t="inlineStr">
        <is>
          <t>2.1.09 IVA retenido por pagar</t>
        </is>
      </c>
      <c r="D20" t="inlineStr">
        <is>
          <t>F29: débito, IVA retenido, crédito y PPM</t>
        </is>
      </c>
      <c r="E20" s="7" t="n">
        <v>722000</v>
      </c>
      <c r="F20" s="7" t="n"/>
    </row>
    <row r="21">
      <c r="A21" t="n">
        <v>6</v>
      </c>
      <c r="B21" t="inlineStr">
        <is>
          <t>30-06-2026</t>
        </is>
      </c>
      <c r="C21" t="inlineStr">
        <is>
          <t>1.1.05 PPM por recuperar</t>
        </is>
      </c>
      <c r="D21" t="inlineStr">
        <is>
          <t>F29: débito, IVA retenido, crédito y PPM</t>
        </is>
      </c>
      <c r="E21" s="7" t="n">
        <v>60000</v>
      </c>
      <c r="F21" s="7" t="n"/>
    </row>
    <row r="22">
      <c r="A22" t="n">
        <v>6</v>
      </c>
      <c r="B22" t="inlineStr">
        <is>
          <t>30-06-2026</t>
        </is>
      </c>
      <c r="C22" t="inlineStr">
        <is>
          <t>1.1.04 IVA crédito fiscal</t>
        </is>
      </c>
      <c r="D22" t="inlineStr">
        <is>
          <t>F29: débito, IVA retenido, crédito y PPM</t>
        </is>
      </c>
      <c r="E22" s="7" t="n"/>
      <c r="F22" s="7" t="n">
        <v>722000</v>
      </c>
    </row>
    <row r="23">
      <c r="A23" t="n">
        <v>6</v>
      </c>
      <c r="B23" t="inlineStr">
        <is>
          <t>30-06-2026</t>
        </is>
      </c>
      <c r="C23" t="inlineStr">
        <is>
          <t>1.1.02 Banco</t>
        </is>
      </c>
      <c r="D23" t="inlineStr">
        <is>
          <t>F29: débito, IVA retenido, crédito y PPM</t>
        </is>
      </c>
      <c r="E23" s="7" t="n"/>
      <c r="F23" s="7" t="n">
        <v>1200000</v>
      </c>
    </row>
    <row r="24">
      <c r="D24" s="1" t="inlineStr">
        <is>
          <t>SUMAS IGUALES</t>
        </is>
      </c>
      <c r="E24" s="7">
        <f>SUM(E2:E23)</f>
        <v/>
      </c>
      <c r="F24" s="7">
        <f>SUM(F2:F23)</f>
        <v/>
      </c>
      <c r="G24">
        <f>IF(E24=F24,"Cuadra","NO CUADRA")</f>
        <v/>
      </c>
    </row>
    <row r="26">
      <c r="A26" t="inlineStr">
        <is>
          <t>Nota: los asientos 5 en adelante usan los montos del ejemplo; si cambias las compras, actualiza el asiento de pago y el F29.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6" customWidth="1" min="3" max="3"/>
  </cols>
  <sheetData>
    <row r="1">
      <c r="A1" s="6" t="inlineStr">
        <is>
          <t>Código ⚠️</t>
        </is>
      </c>
      <c r="B1" s="6" t="inlineStr">
        <is>
          <t>Concepto</t>
        </is>
      </c>
      <c r="C1" s="6" t="inlineStr">
        <is>
          <t>Monto</t>
        </is>
      </c>
    </row>
    <row r="2">
      <c r="A2" t="n">
        <v>502</v>
      </c>
      <c r="B2" t="inlineStr">
        <is>
          <t>Débito por ventas (IVA de la venta)</t>
        </is>
      </c>
      <c r="C2" s="7">
        <f>ROUND(Parámetros!B8*Parámetros!B5,0)</f>
        <v/>
      </c>
    </row>
    <row r="3">
      <c r="A3" t="n">
        <v>39</v>
      </c>
      <c r="B3" t="inlineStr">
        <is>
          <t>IVA retenido (cambio de sujeto)</t>
        </is>
      </c>
      <c r="C3" s="7">
        <f>'Libro de compras'!I5</f>
        <v/>
      </c>
    </row>
    <row r="4">
      <c r="A4" t="n">
        <v>538</v>
      </c>
      <c r="B4" t="inlineStr">
        <is>
          <t>Total débitos</t>
        </is>
      </c>
      <c r="C4" s="7">
        <f>C2+C3</f>
        <v/>
      </c>
    </row>
    <row r="5">
      <c r="A5" t="n">
        <v>519</v>
      </c>
      <c r="B5" t="inlineStr">
        <is>
          <t>Crédito por facturas de compra del giro</t>
        </is>
      </c>
      <c r="C5" s="7">
        <f>'Libro de compras'!H5</f>
        <v/>
      </c>
    </row>
    <row r="6">
      <c r="A6" t="n">
        <v>537</v>
      </c>
      <c r="B6" t="inlineStr">
        <is>
          <t>Total créditos</t>
        </is>
      </c>
      <c r="C6" s="7">
        <f>C5</f>
        <v/>
      </c>
    </row>
    <row r="7">
      <c r="A7" t="n">
        <v>89</v>
      </c>
      <c r="B7" t="inlineStr">
        <is>
          <t>IVA determinado (débitos − créditos)</t>
        </is>
      </c>
      <c r="C7" s="7">
        <f>C4-C6</f>
        <v/>
      </c>
    </row>
    <row r="8">
      <c r="A8" t="n">
        <v>62</v>
      </c>
      <c r="B8" t="inlineStr">
        <is>
          <t>PPM (venta neta × tasa)</t>
        </is>
      </c>
      <c r="C8" s="7">
        <f>ROUND(Parámetros!B8*Parámetros!B7,0)</f>
        <v/>
      </c>
    </row>
    <row r="9">
      <c r="A9" t="n">
        <v>91</v>
      </c>
      <c r="B9" s="1" t="inlineStr">
        <is>
          <t>TOTAL A PAGAR</t>
        </is>
      </c>
      <c r="C9" s="8">
        <f>C7+C8</f>
        <v/>
      </c>
    </row>
    <row r="11">
      <c r="A11" t="inlineStr">
        <is>
          <t>Plazo: día 12 (pago en banco) o día 20 (pago por internet) del mes siguiente. Verifica en sii.cl.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8" customWidth="1" min="3" max="3"/>
    <col width="14" customWidth="1" min="4" max="4"/>
  </cols>
  <sheetData>
    <row r="1">
      <c r="A1" s="6" t="inlineStr">
        <is>
          <t>RUT proveedor</t>
        </is>
      </c>
      <c r="B1" s="6" t="inlineStr">
        <is>
          <t>Proveedor</t>
        </is>
      </c>
      <c r="C1" s="6" t="inlineStr">
        <is>
          <t>Monto neto pagado</t>
        </is>
      </c>
      <c r="D1" s="6" t="inlineStr">
        <is>
          <t>IVA retenido</t>
        </is>
      </c>
    </row>
    <row r="2">
      <c r="A2">
        <f>'Facturas de compra'!D2</f>
        <v/>
      </c>
      <c r="B2">
        <f>'Facturas de compra'!C2</f>
        <v/>
      </c>
      <c r="C2" s="7">
        <f>'Facturas de compra'!H2</f>
        <v/>
      </c>
      <c r="D2" s="7">
        <f>'Facturas de compra'!J2</f>
        <v/>
      </c>
    </row>
    <row r="3">
      <c r="A3">
        <f>'Facturas de compra'!D3</f>
        <v/>
      </c>
      <c r="B3">
        <f>'Facturas de compra'!C3</f>
        <v/>
      </c>
      <c r="C3" s="7">
        <f>'Facturas de compra'!H3</f>
        <v/>
      </c>
      <c r="D3" s="7">
        <f>'Facturas de compra'!J3</f>
        <v/>
      </c>
    </row>
    <row r="4">
      <c r="A4">
        <f>'Facturas de compra'!D4</f>
        <v/>
      </c>
      <c r="B4">
        <f>'Facturas de compra'!C4</f>
        <v/>
      </c>
      <c r="C4" s="7">
        <f>'Facturas de compra'!H4</f>
        <v/>
      </c>
      <c r="D4" s="7">
        <f>'Facturas de compra'!J4</f>
        <v/>
      </c>
    </row>
    <row r="5">
      <c r="A5" s="1" t="inlineStr">
        <is>
          <t>TOTAL</t>
        </is>
      </c>
      <c r="C5" s="7">
        <f>SUM(C2:C4)</f>
        <v/>
      </c>
      <c r="D5" s="7">
        <f>SUM(D2:D4)</f>
        <v/>
      </c>
    </row>
    <row r="7">
      <c r="A7" t="inlineStr">
        <is>
          <t>⚠️ Formato de ejemplo: falta confirmar con el profesor qué declaración jurada pide y su formato oficial.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2026-10-13T13:48:55Z</dcterms:created>
  <dcterms:modified xmlns:dcterms="http://purl.org/dc/terms/" xmlns:xsi="http://www.w3.org/2001/XMLSchema-instance" xsi:type="dcterms:W3CDTF">2026-10-13T13:48:55Z</dcterms:modified>
</cp:coreProperties>
</file>