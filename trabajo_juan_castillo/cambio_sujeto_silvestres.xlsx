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75" yWindow="0" windowWidth="13725" windowHeight="13740" tabRatio="600" firstSheet="0" activeTab="3" autoFilterDateGrouping="1"/>
  </bookViews>
  <sheets>
    <sheet xmlns:r="http://schemas.openxmlformats.org/officeDocument/2006/relationships" name="L. COMPRAS" sheetId="1" state="visible" r:id="rId1"/>
    <sheet xmlns:r="http://schemas.openxmlformats.org/officeDocument/2006/relationships" name="L. VENTAS" sheetId="2" state="visible" r:id="rId2"/>
    <sheet xmlns:r="http://schemas.openxmlformats.org/officeDocument/2006/relationships" name="Honorarios" sheetId="3" state="visible" r:id="rId3"/>
    <sheet xmlns:r="http://schemas.openxmlformats.org/officeDocument/2006/relationships" name="FORMULARIO 29" sheetId="4" state="visible" r:id="rId4"/>
    <sheet xmlns:r="http://schemas.openxmlformats.org/officeDocument/2006/relationships" name="UTM" sheetId="5" state="visible" r:id="rId5"/>
    <sheet xmlns:r="http://schemas.openxmlformats.org/officeDocument/2006/relationships" name="Parámetros" sheetId="6" state="visible" r:id="rId6"/>
    <sheet xmlns:r="http://schemas.openxmlformats.org/officeDocument/2006/relationships" name="Facturas de compra" sheetId="7" state="visible" r:id="rId7"/>
    <sheet xmlns:r="http://schemas.openxmlformats.org/officeDocument/2006/relationships" name="Libro diario" sheetId="8" state="visible" r:id="rId8"/>
    <sheet xmlns:r="http://schemas.openxmlformats.org/officeDocument/2006/relationships" name="DJ F3500" sheetId="9" state="visible" r:id="rId9"/>
  </sheets>
  <definedNames/>
  <calcPr calcId="145621" fullCalcOnLoad="1"/>
</workbook>
</file>

<file path=xl/styles.xml><?xml version="1.0" encoding="utf-8"?>
<styleSheet xmlns="http://schemas.openxmlformats.org/spreadsheetml/2006/main">
  <numFmts count="10">
    <numFmt numFmtId="164" formatCode="#,##0;\(#,##0\);\ "/>
    <numFmt numFmtId="165" formatCode="[$$-340A]\ #,##0;[Red]\-[$$-340A]\ #,##0"/>
    <numFmt numFmtId="166" formatCode="_(* #,##0_);_(* \(#,##0\);_(* &quot;-&quot;??_);_(@_)"/>
    <numFmt numFmtId="167" formatCode="&quot;$&quot;\ #,##0"/>
    <numFmt numFmtId="168" formatCode="#,##0_ ;[Red]\-#,##0\ "/>
    <numFmt numFmtId="169" formatCode="&quot;$&quot;#,##0_);[Red]\(&quot;$&quot;#,##0\)"/>
    <numFmt numFmtId="170" formatCode="0.0%"/>
    <numFmt numFmtId="171" formatCode="_-* #,##0.00_-;\-* #,##0.00_-;_-* &quot;-&quot;??_-;_-@_-"/>
    <numFmt numFmtId="172" formatCode="dd-mm-yyyy"/>
    <numFmt numFmtId="173" formatCode="yyyy-mm-dd"/>
  </numFmts>
  <fonts count="3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Arial Narrow"/>
      <family val="2"/>
      <sz val="12"/>
    </font>
    <font>
      <name val="Arial Narrow"/>
      <family val="2"/>
      <b val="1"/>
      <sz val="12"/>
    </font>
    <font>
      <name val="Arial Narrow"/>
      <family val="2"/>
      <sz val="10"/>
    </font>
    <font>
      <name val="Arial Narrow"/>
      <family val="2"/>
      <b val="1"/>
      <sz val="24"/>
    </font>
    <font>
      <name val="Arial Narrow"/>
      <family val="2"/>
      <sz val="14"/>
    </font>
    <font>
      <name val="Arial Narrow"/>
      <family val="2"/>
      <color theme="0"/>
      <sz val="14"/>
    </font>
    <font>
      <name val="Arial Narrow"/>
      <family val="2"/>
      <b val="1"/>
      <sz val="8"/>
    </font>
    <font>
      <name val="Times New Roman"/>
      <family val="1"/>
      <sz val="14"/>
    </font>
    <font>
      <name val="Arial Narrow"/>
      <family val="2"/>
      <b val="1"/>
      <sz val="14"/>
    </font>
    <font>
      <name val="Times New Roman"/>
      <family val="1"/>
      <b val="1"/>
      <sz val="14"/>
    </font>
    <font>
      <name val="Arial Narrow"/>
      <family val="2"/>
      <sz val="8"/>
    </font>
    <font>
      <name val="Arial Narrow"/>
      <family val="2"/>
      <sz val="9"/>
    </font>
    <font>
      <name val="Arial Narrow"/>
      <family val="2"/>
      <b val="1"/>
      <sz val="18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b val="1"/>
    </font>
    <font>
      <color rgb="000000FF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3" fillId="0" borderId="0"/>
    <xf numFmtId="0" fontId="4" fillId="0" borderId="0"/>
    <xf numFmtId="171" fontId="3" fillId="0" borderId="0"/>
  </cellStyleXfs>
  <cellXfs count="421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7" pivotButton="0" quotePrefix="0" xfId="0"/>
    <xf numFmtId="0" fontId="0" fillId="2" borderId="0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5" fillId="0" borderId="0" applyAlignment="1" applyProtection="1" pivotButton="0" quotePrefix="0" xfId="1">
      <alignment vertical="center"/>
      <protection locked="1" hidden="1"/>
    </xf>
    <xf numFmtId="0" fontId="5" fillId="0" borderId="0" applyAlignment="1" applyProtection="1" pivotButton="0" quotePrefix="0" xfId="1">
      <alignment horizontal="center" vertical="center"/>
      <protection locked="1" hidden="1"/>
    </xf>
    <xf numFmtId="14" fontId="6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1">
      <alignment vertical="center"/>
      <protection locked="1" hidden="1"/>
    </xf>
    <xf numFmtId="0" fontId="7" fillId="0" borderId="0" applyAlignment="1" applyProtection="1" pivotButton="0" quotePrefix="0" xfId="1">
      <alignment horizontal="center" vertical="center"/>
      <protection locked="1" hidden="1"/>
    </xf>
    <xf numFmtId="164" fontId="5" fillId="0" borderId="0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1">
      <alignment vertical="center"/>
      <protection locked="1" hidden="1"/>
    </xf>
    <xf numFmtId="0" fontId="5" fillId="0" borderId="11" applyAlignment="1" applyProtection="1" pivotButton="0" quotePrefix="0" xfId="1">
      <alignment vertical="center"/>
      <protection locked="1" hidden="1"/>
    </xf>
    <xf numFmtId="0" fontId="5" fillId="0" borderId="12" applyAlignment="1" applyProtection="1" pivotButton="0" quotePrefix="0" xfId="1">
      <alignment vertical="center"/>
      <protection locked="1" hidden="1"/>
    </xf>
    <xf numFmtId="164" fontId="5" fillId="0" borderId="0" applyAlignment="1" applyProtection="1" pivotButton="0" quotePrefix="1" xfId="1">
      <alignment vertical="center"/>
      <protection locked="1" hidden="1"/>
    </xf>
    <xf numFmtId="0" fontId="5" fillId="0" borderId="10" applyAlignment="1" applyProtection="1" pivotButton="0" quotePrefix="0" xfId="1">
      <alignment horizontal="center" vertical="center"/>
      <protection locked="1" hidden="1"/>
    </xf>
    <xf numFmtId="164" fontId="5" fillId="0" borderId="0" applyAlignment="1" applyProtection="1" pivotButton="0" quotePrefix="0" xfId="1">
      <alignment vertical="center"/>
      <protection locked="1" hidden="1"/>
    </xf>
    <xf numFmtId="0" fontId="5" fillId="0" borderId="10" applyAlignment="1" applyProtection="1" pivotButton="0" quotePrefix="0" xfId="1">
      <alignment vertical="center"/>
      <protection locked="1" hidden="1"/>
    </xf>
    <xf numFmtId="0" fontId="10" fillId="0" borderId="11" applyAlignment="1" applyProtection="1" pivotButton="0" quotePrefix="0" xfId="0">
      <alignment vertical="center"/>
      <protection locked="1" hidden="1"/>
    </xf>
    <xf numFmtId="0" fontId="5" fillId="0" borderId="10" applyAlignment="1" applyProtection="1" pivotButton="0" quotePrefix="1" xfId="1">
      <alignment horizontal="center" vertical="center"/>
      <protection locked="1" hidden="1"/>
    </xf>
    <xf numFmtId="165" fontId="9" fillId="0" borderId="10" applyAlignment="1" applyProtection="1" pivotButton="0" quotePrefix="0" xfId="1">
      <alignment horizontal="right" vertical="center"/>
      <protection locked="1" hidden="1"/>
    </xf>
    <xf numFmtId="0" fontId="12" fillId="0" borderId="10" applyAlignment="1" applyProtection="1" pivotButton="0" quotePrefix="1" xfId="1">
      <alignment horizontal="center" vertical="center"/>
      <protection locked="1" hidden="1"/>
    </xf>
    <xf numFmtId="0" fontId="14" fillId="0" borderId="10" applyAlignment="1" applyProtection="1" pivotButton="0" quotePrefix="1" xfId="1">
      <alignment horizontal="center" vertical="center"/>
      <protection locked="1" hidden="1"/>
    </xf>
    <xf numFmtId="0" fontId="6" fillId="0" borderId="0" applyAlignment="1" applyProtection="1" pivotButton="0" quotePrefix="0" xfId="1">
      <alignment vertical="center"/>
      <protection locked="1" hidden="1"/>
    </xf>
    <xf numFmtId="0" fontId="6" fillId="0" borderId="10" applyAlignment="1" applyProtection="1" pivotButton="0" quotePrefix="0" xfId="1">
      <alignment vertical="center"/>
      <protection locked="1" hidden="1"/>
    </xf>
    <xf numFmtId="0" fontId="7" fillId="0" borderId="10" applyAlignment="1" applyProtection="1" pivotButton="0" quotePrefix="0" xfId="1">
      <alignment horizontal="center" vertical="center"/>
      <protection locked="1" hidden="1"/>
    </xf>
    <xf numFmtId="49" fontId="5" fillId="0" borderId="10" applyAlignment="1" applyProtection="1" pivotButton="0" quotePrefix="0" xfId="1">
      <alignment horizontal="center" vertical="center"/>
      <protection locked="1" hidden="1"/>
    </xf>
    <xf numFmtId="0" fontId="2" fillId="0" borderId="8" pivotButton="0" quotePrefix="0" xfId="0"/>
    <xf numFmtId="3" fontId="0" fillId="0" borderId="1" pivotButton="0" quotePrefix="0" xfId="0"/>
    <xf numFmtId="3" fontId="2" fillId="0" borderId="9" pivotButton="0" quotePrefix="0" xfId="0"/>
    <xf numFmtId="16" fontId="0" fillId="0" borderId="1" pivotButton="0" quotePrefix="0" xfId="0"/>
    <xf numFmtId="0" fontId="13" fillId="0" borderId="10" applyAlignment="1" applyProtection="1" pivotButton="0" quotePrefix="0" xfId="1">
      <alignment horizontal="center" vertical="center" wrapText="1"/>
      <protection locked="0" hidden="0"/>
    </xf>
    <xf numFmtId="0" fontId="19" fillId="0" borderId="1" pivotButton="0" quotePrefix="0" xfId="0"/>
    <xf numFmtId="0" fontId="19" fillId="0" borderId="0" pivotButton="0" quotePrefix="0" xfId="0"/>
    <xf numFmtId="10" fontId="0" fillId="0" borderId="0" applyAlignment="1" pivotButton="0" quotePrefix="0" xfId="0">
      <alignment horizontal="center" vertical="center"/>
    </xf>
    <xf numFmtId="3" fontId="19" fillId="0" borderId="1" pivotButton="0" quotePrefix="0" xfId="0"/>
    <xf numFmtId="3" fontId="2" fillId="0" borderId="1" pivotButton="0" quotePrefix="0" xfId="0"/>
    <xf numFmtId="0" fontId="7" fillId="2" borderId="10" applyAlignment="1" applyProtection="1" pivotButton="0" quotePrefix="0" xfId="1">
      <alignment horizontal="center" vertical="center"/>
      <protection locked="1" hidden="1"/>
    </xf>
    <xf numFmtId="0" fontId="5" fillId="2" borderId="10" applyAlignment="1" applyProtection="1" pivotButton="0" quotePrefix="0" xfId="1">
      <alignment horizontal="center" vertical="center"/>
      <protection locked="1" hidden="1"/>
    </xf>
    <xf numFmtId="0" fontId="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5" fillId="0" borderId="10" applyAlignment="1" applyProtection="1" pivotButton="0" quotePrefix="0" xfId="1">
      <alignment horizontal="left" vertical="center"/>
      <protection locked="1" hidden="1"/>
    </xf>
    <xf numFmtId="0" fontId="5" fillId="0" borderId="19" applyAlignment="1" applyProtection="1" pivotButton="0" quotePrefix="0" xfId="1">
      <alignment horizontal="center" vertical="center"/>
      <protection locked="1" hidden="1"/>
    </xf>
    <xf numFmtId="0" fontId="6" fillId="0" borderId="19" applyAlignment="1" applyProtection="1" pivotButton="0" quotePrefix="0" xfId="1">
      <alignment vertical="center"/>
      <protection locked="1" hidden="1"/>
    </xf>
    <xf numFmtId="3" fontId="0" fillId="0" borderId="0" pivotButton="0" quotePrefix="0" xfId="0"/>
    <xf numFmtId="0" fontId="5" fillId="2" borderId="10" applyAlignment="1" applyProtection="1" pivotButton="0" quotePrefix="0" xfId="1">
      <alignment vertical="center"/>
      <protection locked="1" hidden="1"/>
    </xf>
    <xf numFmtId="3" fontId="0" fillId="2" borderId="0" applyAlignment="1" pivotButton="0" quotePrefix="0" xfId="0">
      <alignment horizontal="right"/>
    </xf>
    <xf numFmtId="0" fontId="18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6" applyAlignment="1" pivotButton="0" quotePrefix="0" xfId="0">
      <alignment horizontal="center"/>
    </xf>
    <xf numFmtId="9" fontId="2" fillId="0" borderId="6" applyAlignment="1" pivotButton="0" quotePrefix="0" xfId="0">
      <alignment horizontal="center"/>
    </xf>
    <xf numFmtId="0" fontId="1" fillId="0" borderId="1" pivotButton="0" quotePrefix="0" xfId="0"/>
    <xf numFmtId="3" fontId="1" fillId="0" borderId="1" pivotButton="0" quotePrefix="0" xfId="0"/>
    <xf numFmtId="3" fontId="1" fillId="0" borderId="6" pivotButton="0" quotePrefix="0" xfId="0"/>
    <xf numFmtId="3" fontId="1" fillId="2" borderId="1" pivotButton="0" quotePrefix="0" xfId="0"/>
    <xf numFmtId="3" fontId="1" fillId="2" borderId="1" applyAlignment="1" pivotButton="0" quotePrefix="0" xfId="0">
      <alignment horizontal="right"/>
    </xf>
    <xf numFmtId="0" fontId="1" fillId="0" borderId="0" pivotButton="0" quotePrefix="0" xfId="0"/>
    <xf numFmtId="9" fontId="2" fillId="0" borderId="6" applyAlignment="1" pivotButton="0" quotePrefix="0" xfId="0">
      <alignment horizontal="center" vertical="center"/>
    </xf>
    <xf numFmtId="16" fontId="1" fillId="0" borderId="1" pivotButton="0" quotePrefix="0" xfId="0"/>
    <xf numFmtId="3" fontId="22" fillId="0" borderId="1" pivotButton="0" quotePrefix="0" xfId="0"/>
    <xf numFmtId="0" fontId="19" fillId="0" borderId="9" applyAlignment="1" pivotButton="0" quotePrefix="0" xfId="0">
      <alignment horizontal="left"/>
    </xf>
    <xf numFmtId="3" fontId="19" fillId="0" borderId="8" applyAlignment="1" pivotButton="0" quotePrefix="0" xfId="0">
      <alignment horizontal="right"/>
    </xf>
    <xf numFmtId="3" fontId="19" fillId="0" borderId="9" applyAlignment="1" pivotButton="0" quotePrefix="0" xfId="0">
      <alignment horizontal="right"/>
    </xf>
    <xf numFmtId="3" fontId="19" fillId="0" borderId="8" pivotButton="0" quotePrefix="0" xfId="0"/>
    <xf numFmtId="3" fontId="19" fillId="0" borderId="9" pivotButton="0" quotePrefix="0" xfId="0"/>
    <xf numFmtId="3" fontId="21" fillId="0" borderId="8" pivotButton="0" quotePrefix="0" xfId="0"/>
    <xf numFmtId="0" fontId="19" fillId="0" borderId="8" applyAlignment="1" pivotButton="0" quotePrefix="0" xfId="0">
      <alignment horizontal="left"/>
    </xf>
    <xf numFmtId="0" fontId="19" fillId="0" borderId="8" pivotButton="0" quotePrefix="0" xfId="0"/>
    <xf numFmtId="3" fontId="19" fillId="2" borderId="8" pivotButton="0" quotePrefix="0" xfId="0"/>
    <xf numFmtId="10" fontId="0" fillId="0" borderId="0" pivotButton="0" quotePrefix="0" xfId="0"/>
    <xf numFmtId="2" fontId="19" fillId="0" borderId="9" pivotButton="0" quotePrefix="0" xfId="0"/>
    <xf numFmtId="0" fontId="18" fillId="0" borderId="1" applyAlignment="1" pivotButton="0" quotePrefix="0" xfId="0">
      <alignment horizontal="center"/>
    </xf>
    <xf numFmtId="4" fontId="19" fillId="0" borderId="9" pivotButton="0" quotePrefix="0" xfId="0"/>
    <xf numFmtId="2" fontId="0" fillId="0" borderId="0" pivotButton="0" quotePrefix="0" xfId="0"/>
    <xf numFmtId="0" fontId="2" fillId="0" borderId="2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25" pivotButton="0" quotePrefix="0" xfId="0"/>
    <xf numFmtId="0" fontId="0" fillId="0" borderId="29" pivotButton="0" quotePrefix="0" xfId="0"/>
    <xf numFmtId="3" fontId="20" fillId="0" borderId="1" pivotButton="0" quotePrefix="0" xfId="0"/>
    <xf numFmtId="0" fontId="20" fillId="0" borderId="1" applyAlignment="1" pivotButton="0" quotePrefix="0" xfId="0">
      <alignment horizontal="center" vertical="center"/>
    </xf>
    <xf numFmtId="0" fontId="12" fillId="2" borderId="10" applyAlignment="1" applyProtection="1" pivotButton="0" quotePrefix="1" xfId="1">
      <alignment horizontal="center" vertical="center"/>
      <protection locked="1" hidden="1"/>
    </xf>
    <xf numFmtId="0" fontId="5" fillId="2" borderId="18" applyAlignment="1" applyProtection="1" pivotButton="0" quotePrefix="0" xfId="1">
      <alignment horizontal="center" vertical="center"/>
      <protection locked="1" hidden="1"/>
    </xf>
    <xf numFmtId="0" fontId="5" fillId="2" borderId="19" applyAlignment="1" applyProtection="1" pivotButton="0" quotePrefix="0" xfId="1">
      <alignment vertical="center"/>
      <protection locked="1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0" fontId="5" fillId="0" borderId="19" applyAlignment="1" applyProtection="1" pivotButton="0" quotePrefix="0" xfId="1">
      <alignment vertical="center"/>
      <protection locked="1" hidden="1"/>
    </xf>
    <xf numFmtId="0" fontId="0" fillId="0" borderId="10" applyAlignment="1" pivotButton="0" quotePrefix="0" xfId="0">
      <alignment horizontal="center"/>
    </xf>
    <xf numFmtId="0" fontId="18" fillId="4" borderId="3" applyAlignment="1" pivotButton="0" quotePrefix="0" xfId="0">
      <alignment horizontal="center"/>
    </xf>
    <xf numFmtId="0" fontId="18" fillId="4" borderId="4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2" fillId="0" borderId="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8" applyAlignment="1" pivotButton="0" quotePrefix="0" xfId="0">
      <alignment horizontal="left" vertical="center"/>
    </xf>
    <xf numFmtId="0" fontId="19" fillId="0" borderId="9" applyAlignment="1" pivotButton="0" quotePrefix="0" xfId="0">
      <alignment horizontal="left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0" fontId="19" fillId="0" borderId="26" applyAlignment="1" pivotButton="0" quotePrefix="0" xfId="0">
      <alignment horizontal="left" vertical="center"/>
    </xf>
    <xf numFmtId="0" fontId="21" fillId="0" borderId="8" applyAlignment="1" pivotButton="0" quotePrefix="0" xfId="0">
      <alignment horizontal="left" vertical="center"/>
    </xf>
    <xf numFmtId="0" fontId="21" fillId="0" borderId="26" applyAlignment="1" pivotButton="0" quotePrefix="0" xfId="0">
      <alignment horizontal="left" vertical="center"/>
    </xf>
    <xf numFmtId="0" fontId="21" fillId="0" borderId="9" applyAlignment="1" pivotButton="0" quotePrefix="0" xfId="0">
      <alignment horizontal="left" vertical="center"/>
    </xf>
    <xf numFmtId="3" fontId="19" fillId="0" borderId="8" pivotButton="0" quotePrefix="0" xfId="0"/>
    <xf numFmtId="3" fontId="19" fillId="0" borderId="9" pivotButton="0" quotePrefix="0" xfId="0"/>
    <xf numFmtId="3" fontId="19" fillId="0" borderId="8" applyAlignment="1" pivotButton="0" quotePrefix="0" xfId="0">
      <alignment horizontal="right"/>
    </xf>
    <xf numFmtId="3" fontId="19" fillId="0" borderId="9" applyAlignment="1" pivotButton="0" quotePrefix="0" xfId="0">
      <alignment horizontal="right"/>
    </xf>
    <xf numFmtId="0" fontId="19" fillId="0" borderId="9" pivotButton="0" quotePrefix="0" xfId="0"/>
    <xf numFmtId="0" fontId="19" fillId="0" borderId="8" applyAlignment="1" pivotButton="0" quotePrefix="0" xfId="0">
      <alignment horizontal="center"/>
    </xf>
    <xf numFmtId="0" fontId="19" fillId="0" borderId="9" applyAlignment="1" pivotButton="0" quotePrefix="0" xfId="0">
      <alignment horizontal="center"/>
    </xf>
    <xf numFmtId="3" fontId="19" fillId="3" borderId="8" pivotButton="0" quotePrefix="0" xfId="0"/>
    <xf numFmtId="3" fontId="19" fillId="3" borderId="9" pivotButton="0" quotePrefix="0" xfId="0"/>
    <xf numFmtId="0" fontId="19" fillId="0" borderId="8" pivotButton="0" quotePrefix="0" xfId="0"/>
    <xf numFmtId="3" fontId="25" fillId="0" borderId="8" pivotButton="0" quotePrefix="0" xfId="0"/>
    <xf numFmtId="3" fontId="25" fillId="0" borderId="9" pivotButton="0" quotePrefix="0" xfId="0"/>
    <xf numFmtId="0" fontId="19" fillId="0" borderId="8" applyAlignment="1" pivotButton="0" quotePrefix="0" xfId="0">
      <alignment horizontal="left"/>
    </xf>
    <xf numFmtId="0" fontId="19" fillId="0" borderId="9" applyAlignment="1" pivotButton="0" quotePrefix="0" xfId="0">
      <alignment horizontal="left"/>
    </xf>
    <xf numFmtId="0" fontId="21" fillId="3" borderId="8" applyAlignment="1" pivotButton="0" quotePrefix="0" xfId="0">
      <alignment horizontal="left"/>
    </xf>
    <xf numFmtId="0" fontId="21" fillId="3" borderId="9" applyAlignment="1" pivotButton="0" quotePrefix="0" xfId="0">
      <alignment horizontal="left"/>
    </xf>
    <xf numFmtId="0" fontId="21" fillId="0" borderId="8" applyAlignment="1" pivotButton="0" quotePrefix="0" xfId="0">
      <alignment horizontal="left"/>
    </xf>
    <xf numFmtId="0" fontId="21" fillId="0" borderId="9" applyAlignment="1" pivotButton="0" quotePrefix="0" xfId="0">
      <alignment horizontal="left"/>
    </xf>
    <xf numFmtId="0" fontId="18" fillId="0" borderId="8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3" fontId="21" fillId="0" borderId="8" pivotButton="0" quotePrefix="0" xfId="0"/>
    <xf numFmtId="3" fontId="21" fillId="0" borderId="9" pivotButton="0" quotePrefix="0" xfId="0"/>
    <xf numFmtId="0" fontId="25" fillId="0" borderId="0" applyAlignment="1" pivotButton="0" quotePrefix="0" xfId="0">
      <alignment horizontal="center"/>
    </xf>
    <xf numFmtId="0" fontId="18" fillId="4" borderId="1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2" fillId="4" borderId="9" applyAlignment="1" pivotButton="0" quotePrefix="0" xfId="0">
      <alignment horizontal="center"/>
    </xf>
    <xf numFmtId="0" fontId="18" fillId="0" borderId="25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0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/>
      <protection locked="1" hidden="1"/>
    </xf>
    <xf numFmtId="0" fontId="13" fillId="0" borderId="10" applyAlignment="1" applyProtection="1" pivotButton="0" quotePrefix="1" xfId="1">
      <alignment horizontal="center" vertical="center" wrapText="1"/>
      <protection locked="0" hidden="0"/>
    </xf>
    <xf numFmtId="0" fontId="5" fillId="0" borderId="10" applyAlignment="1" applyProtection="1" pivotButton="0" quotePrefix="1" xfId="1">
      <alignment horizontal="center" vertical="center"/>
      <protection locked="1" hidden="1"/>
    </xf>
    <xf numFmtId="3" fontId="13" fillId="0" borderId="10" applyAlignment="1" applyProtection="1" pivotButton="0" quotePrefix="0" xfId="0">
      <alignment horizontal="center" vertical="center"/>
      <protection locked="0" hidden="0"/>
    </xf>
    <xf numFmtId="3" fontId="13" fillId="0" borderId="10" applyAlignment="1" applyProtection="1" pivotButton="0" quotePrefix="0" xfId="0">
      <alignment horizontal="center" vertical="center"/>
      <protection locked="1" hidden="1"/>
    </xf>
    <xf numFmtId="165" fontId="9" fillId="0" borderId="10" applyAlignment="1" applyProtection="1" pivotButton="0" quotePrefix="0" xfId="1">
      <alignment horizontal="right" vertical="center"/>
      <protection locked="0" hidden="0"/>
    </xf>
    <xf numFmtId="0" fontId="5" fillId="0" borderId="10" applyAlignment="1" applyProtection="1" pivotButton="0" quotePrefix="0" xfId="1">
      <alignment horizontal="left" vertical="center"/>
      <protection locked="1" hidden="1"/>
    </xf>
    <xf numFmtId="0" fontId="7" fillId="2" borderId="10" applyAlignment="1" applyProtection="1" pivotButton="0" quotePrefix="0" xfId="1">
      <alignment horizontal="center" vertical="center"/>
      <protection locked="1" hidden="1"/>
    </xf>
    <xf numFmtId="0" fontId="9" fillId="0" borderId="10" applyAlignment="1" applyProtection="1" pivotButton="0" quotePrefix="0" xfId="1">
      <alignment horizontal="center" vertical="center"/>
      <protection locked="0" hidden="0"/>
    </xf>
    <xf numFmtId="0" fontId="5" fillId="2" borderId="10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 textRotation="90" wrapText="1"/>
      <protection locked="1" hidden="1"/>
    </xf>
    <xf numFmtId="0" fontId="6" fillId="0" borderId="14" applyAlignment="1" applyProtection="1" pivotButton="0" quotePrefix="0" xfId="1">
      <alignment horizontal="center" vertical="center" textRotation="90" wrapText="1"/>
      <protection locked="1" hidden="1"/>
    </xf>
    <xf numFmtId="0" fontId="6" fillId="0" borderId="11" applyAlignment="1" applyProtection="1" pivotButton="0" quotePrefix="0" xfId="1">
      <alignment horizontal="center" vertical="center" textRotation="90" wrapText="1"/>
      <protection locked="1" hidden="1"/>
    </xf>
    <xf numFmtId="0" fontId="6" fillId="0" borderId="12" applyAlignment="1" applyProtection="1" pivotButton="0" quotePrefix="0" xfId="1">
      <alignment horizontal="center" vertical="center" textRotation="90" wrapText="1"/>
      <protection locked="1" hidden="1"/>
    </xf>
    <xf numFmtId="0" fontId="6" fillId="0" borderId="15" applyAlignment="1" applyProtection="1" pivotButton="0" quotePrefix="0" xfId="1">
      <alignment horizontal="center" vertical="center" textRotation="90" wrapText="1"/>
      <protection locked="1" hidden="1"/>
    </xf>
    <xf numFmtId="0" fontId="6" fillId="0" borderId="16" applyAlignment="1" applyProtection="1" pivotButton="0" quotePrefix="0" xfId="1">
      <alignment horizontal="center" vertical="center" textRotation="90" wrapText="1"/>
      <protection locked="1" hidden="1"/>
    </xf>
    <xf numFmtId="0" fontId="6" fillId="0" borderId="10" applyAlignment="1" applyProtection="1" pivotButton="0" quotePrefix="0" xfId="1">
      <alignment horizontal="center" vertical="center" textRotation="90" wrapText="1"/>
      <protection locked="1" hidden="1"/>
    </xf>
    <xf numFmtId="0" fontId="11" fillId="0" borderId="10" applyAlignment="1" applyProtection="1" pivotButton="0" quotePrefix="0" xfId="1">
      <alignment horizontal="center" vertical="center" textRotation="90" wrapText="1"/>
      <protection locked="1" hidden="1"/>
    </xf>
    <xf numFmtId="0" fontId="5" fillId="0" borderId="17" applyAlignment="1" applyProtection="1" pivotButton="0" quotePrefix="0" xfId="1">
      <alignment horizontal="left" vertical="center"/>
      <protection locked="1" hidden="1"/>
    </xf>
    <xf numFmtId="0" fontId="5" fillId="0" borderId="18" applyAlignment="1" applyProtection="1" pivotButton="0" quotePrefix="0" xfId="1">
      <alignment horizontal="left" vertical="center"/>
      <protection locked="1" hidden="1"/>
    </xf>
    <xf numFmtId="0" fontId="5" fillId="0" borderId="19" applyAlignment="1" applyProtection="1" pivotButton="0" quotePrefix="0" xfId="1">
      <alignment horizontal="left" vertical="center"/>
      <protection locked="1" hidden="1"/>
    </xf>
    <xf numFmtId="0" fontId="7" fillId="2" borderId="17" applyAlignment="1" applyProtection="1" pivotButton="0" quotePrefix="0" xfId="1">
      <alignment horizontal="center" vertical="center"/>
      <protection locked="1" hidden="1"/>
    </xf>
    <xf numFmtId="0" fontId="7" fillId="2" borderId="19" applyAlignment="1" applyProtection="1" pivotButton="0" quotePrefix="0" xfId="1">
      <alignment horizontal="center" vertical="center"/>
      <protection locked="1" hidden="1"/>
    </xf>
    <xf numFmtId="0" fontId="9" fillId="0" borderId="17" applyAlignment="1" applyProtection="1" pivotButton="0" quotePrefix="0" xfId="1">
      <alignment horizontal="center" vertical="center"/>
      <protection locked="0" hidden="0"/>
    </xf>
    <xf numFmtId="0" fontId="9" fillId="0" borderId="18" applyAlignment="1" applyProtection="1" pivotButton="0" quotePrefix="0" xfId="1">
      <alignment horizontal="center" vertical="center"/>
      <protection locked="0" hidden="0"/>
    </xf>
    <xf numFmtId="0" fontId="9" fillId="0" borderId="19" applyAlignment="1" applyProtection="1" pivotButton="0" quotePrefix="0" xfId="1">
      <alignment horizontal="center" vertical="center"/>
      <protection locked="0" hidden="0"/>
    </xf>
    <xf numFmtId="165" fontId="9" fillId="0" borderId="17" applyAlignment="1" applyProtection="1" pivotButton="0" quotePrefix="0" xfId="1">
      <alignment horizontal="center" vertical="center"/>
      <protection locked="0" hidden="0"/>
    </xf>
    <xf numFmtId="165" fontId="9" fillId="0" borderId="18" applyAlignment="1" applyProtection="1" pivotButton="0" quotePrefix="0" xfId="1">
      <alignment horizontal="center" vertical="center"/>
      <protection locked="0" hidden="0"/>
    </xf>
    <xf numFmtId="165" fontId="9" fillId="0" borderId="19" applyAlignment="1" applyProtection="1" pivotButton="0" quotePrefix="0" xfId="1">
      <alignment horizontal="center" vertical="center"/>
      <protection locked="0" hidden="0"/>
    </xf>
    <xf numFmtId="0" fontId="7" fillId="0" borderId="10" applyAlignment="1" applyProtection="1" pivotButton="0" quotePrefix="0" xfId="1">
      <alignment horizontal="center" vertical="center"/>
      <protection locked="1" hidden="1"/>
    </xf>
    <xf numFmtId="0" fontId="5" fillId="0" borderId="10" applyAlignment="1" applyProtection="1" pivotButton="0" quotePrefix="0" xfId="0">
      <alignment horizontal="center" vertical="center" textRotation="90" wrapText="1"/>
      <protection locked="1" hidden="1"/>
    </xf>
    <xf numFmtId="0" fontId="6" fillId="0" borderId="10" applyAlignment="1" applyProtection="1" pivotButton="0" quotePrefix="0" xfId="0">
      <alignment horizontal="center" vertical="center" textRotation="90" wrapText="1"/>
      <protection locked="1" hidden="1"/>
    </xf>
    <xf numFmtId="166" fontId="9" fillId="0" borderId="17" applyAlignment="1" applyProtection="1" pivotButton="0" quotePrefix="0" xfId="2">
      <alignment horizontal="center" vertical="center"/>
      <protection locked="0" hidden="0"/>
    </xf>
    <xf numFmtId="166" fontId="9" fillId="0" borderId="18" applyAlignment="1" applyProtection="1" pivotButton="0" quotePrefix="0" xfId="2">
      <alignment horizontal="center" vertical="center"/>
      <protection locked="0" hidden="0"/>
    </xf>
    <xf numFmtId="166" fontId="9" fillId="0" borderId="19" applyAlignment="1" applyProtection="1" pivotButton="0" quotePrefix="0" xfId="2">
      <alignment horizontal="center" vertical="center"/>
      <protection locked="0" hidden="0"/>
    </xf>
    <xf numFmtId="166" fontId="9" fillId="0" borderId="10" applyAlignment="1" applyProtection="1" pivotButton="0" quotePrefix="0" xfId="2">
      <alignment horizontal="center" vertical="center"/>
      <protection locked="0" hidden="0"/>
    </xf>
    <xf numFmtId="0" fontId="6" fillId="2" borderId="13" applyAlignment="1" applyProtection="1" pivotButton="0" quotePrefix="0" xfId="1">
      <alignment horizontal="center" vertical="center" textRotation="90" wrapText="1"/>
      <protection locked="1" hidden="1"/>
    </xf>
    <xf numFmtId="0" fontId="6" fillId="2" borderId="14" applyAlignment="1" applyProtection="1" pivotButton="0" quotePrefix="0" xfId="1">
      <alignment horizontal="center" vertical="center" textRotation="90" wrapText="1"/>
      <protection locked="1" hidden="1"/>
    </xf>
    <xf numFmtId="0" fontId="6" fillId="2" borderId="11" applyAlignment="1" applyProtection="1" pivotButton="0" quotePrefix="0" xfId="1">
      <alignment horizontal="center" vertical="center" textRotation="90" wrapText="1"/>
      <protection locked="1" hidden="1"/>
    </xf>
    <xf numFmtId="0" fontId="6" fillId="2" borderId="12" applyAlignment="1" applyProtection="1" pivotButton="0" quotePrefix="0" xfId="1">
      <alignment horizontal="center" vertical="center" textRotation="90" wrapText="1"/>
      <protection locked="1" hidden="1"/>
    </xf>
    <xf numFmtId="0" fontId="6" fillId="2" borderId="15" applyAlignment="1" applyProtection="1" pivotButton="0" quotePrefix="0" xfId="1">
      <alignment horizontal="center" vertical="center" textRotation="90" wrapText="1"/>
      <protection locked="1" hidden="1"/>
    </xf>
    <xf numFmtId="0" fontId="6" fillId="2" borderId="16" applyAlignment="1" applyProtection="1" pivotButton="0" quotePrefix="0" xfId="1">
      <alignment horizontal="center" vertical="center" textRotation="90" wrapText="1"/>
      <protection locked="1" hidden="1"/>
    </xf>
    <xf numFmtId="0" fontId="6" fillId="0" borderId="17" applyAlignment="1" applyProtection="1" pivotButton="0" quotePrefix="0" xfId="1">
      <alignment horizontal="center" vertical="center"/>
      <protection locked="1" hidden="1"/>
    </xf>
    <xf numFmtId="0" fontId="6" fillId="0" borderId="18" applyAlignment="1" applyProtection="1" pivotButton="0" quotePrefix="0" xfId="1">
      <alignment horizontal="center" vertical="center"/>
      <protection locked="1" hidden="1"/>
    </xf>
    <xf numFmtId="0" fontId="6" fillId="0" borderId="19" applyAlignment="1" applyProtection="1" pivotButton="0" quotePrefix="0" xfId="1">
      <alignment horizontal="center" vertical="center"/>
      <protection locked="1" hidden="1"/>
    </xf>
    <xf numFmtId="0" fontId="6" fillId="0" borderId="20" applyAlignment="1" applyProtection="1" pivotButton="0" quotePrefix="0" xfId="1">
      <alignment horizontal="center" vertical="center" textRotation="90" wrapText="1"/>
      <protection locked="1" hidden="1"/>
    </xf>
    <xf numFmtId="0" fontId="6" fillId="0" borderId="21" applyAlignment="1" applyProtection="1" pivotButton="0" quotePrefix="0" xfId="1">
      <alignment horizontal="center" vertical="center" textRotation="90" wrapText="1"/>
      <protection locked="1" hidden="1"/>
    </xf>
    <xf numFmtId="0" fontId="6" fillId="0" borderId="22" applyAlignment="1" applyProtection="1" pivotButton="0" quotePrefix="0" xfId="1">
      <alignment horizontal="center" vertical="center" textRotation="90" wrapText="1"/>
      <protection locked="1" hidden="1"/>
    </xf>
    <xf numFmtId="0" fontId="5" fillId="0" borderId="17" applyAlignment="1" applyProtection="1" pivotButton="0" quotePrefix="0" xfId="1">
      <alignment horizontal="center" vertical="center"/>
      <protection locked="1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0" fontId="5" fillId="0" borderId="19" applyAlignment="1" applyProtection="1" pivotButton="0" quotePrefix="0" xfId="1">
      <alignment horizontal="center" vertical="center"/>
      <protection locked="1" hidden="1"/>
    </xf>
    <xf numFmtId="165" fontId="9" fillId="0" borderId="10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0">
      <alignment horizontal="center" vertical="center" textRotation="90" wrapText="1"/>
      <protection locked="1" hidden="1"/>
    </xf>
    <xf numFmtId="0" fontId="5" fillId="0" borderId="18" applyAlignment="1" applyProtection="1" pivotButton="0" quotePrefix="0" xfId="0">
      <alignment horizontal="center" vertical="center" textRotation="90" wrapText="1"/>
      <protection locked="1" hidden="1"/>
    </xf>
    <xf numFmtId="0" fontId="5" fillId="0" borderId="19" applyAlignment="1" applyProtection="1" pivotButton="0" quotePrefix="0" xfId="0">
      <alignment horizontal="center" vertical="center" textRotation="90" wrapText="1"/>
      <protection locked="1" hidden="1"/>
    </xf>
    <xf numFmtId="0" fontId="6" fillId="0" borderId="10" applyAlignment="1" applyProtection="1" pivotButton="0" quotePrefix="0" xfId="1">
      <alignment horizontal="left" vertical="center"/>
      <protection locked="1" hidden="1"/>
    </xf>
    <xf numFmtId="0" fontId="6" fillId="2" borderId="10" applyAlignment="1" applyProtection="1" pivotButton="0" quotePrefix="0" xfId="1">
      <alignment horizontal="center" vertical="center"/>
      <protection locked="1" hidden="1"/>
    </xf>
    <xf numFmtId="165" fontId="13" fillId="0" borderId="10" applyAlignment="1" applyProtection="1" pivotButton="0" quotePrefix="0" xfId="1">
      <alignment horizontal="right" vertical="center"/>
      <protection locked="1" hidden="1"/>
    </xf>
    <xf numFmtId="0" fontId="15" fillId="0" borderId="10" applyAlignment="1" applyProtection="1" pivotButton="0" quotePrefix="0" xfId="1">
      <alignment horizontal="center" vertical="center" textRotation="90" wrapText="1"/>
      <protection locked="1" hidden="1"/>
    </xf>
    <xf numFmtId="167" fontId="9" fillId="2" borderId="10" applyAlignment="1" applyProtection="1" pivotButton="0" quotePrefix="0" xfId="1">
      <alignment horizontal="right" vertical="center"/>
      <protection locked="0" hidden="0"/>
    </xf>
    <xf numFmtId="0" fontId="5" fillId="0" borderId="20" applyAlignment="1" applyProtection="1" pivotButton="0" quotePrefix="0" xfId="1">
      <alignment horizontal="center" vertical="center" textRotation="90" wrapText="1"/>
      <protection locked="1" hidden="1"/>
    </xf>
    <xf numFmtId="0" fontId="5" fillId="0" borderId="21" applyAlignment="1" applyProtection="1" pivotButton="0" quotePrefix="0" xfId="1">
      <alignment horizontal="center" vertical="center" textRotation="90" wrapText="1"/>
      <protection locked="1" hidden="1"/>
    </xf>
    <xf numFmtId="0" fontId="5" fillId="0" borderId="22" applyAlignment="1" applyProtection="1" pivotButton="0" quotePrefix="0" xfId="1">
      <alignment horizontal="center" vertical="center" textRotation="90" wrapText="1"/>
      <protection locked="1" hidden="1"/>
    </xf>
    <xf numFmtId="0" fontId="5" fillId="0" borderId="10" applyAlignment="1" applyProtection="1" pivotButton="0" quotePrefix="0" xfId="1">
      <alignment horizontal="center" vertical="center" textRotation="90" wrapText="1"/>
      <protection locked="1" hidden="1"/>
    </xf>
    <xf numFmtId="0" fontId="16" fillId="0" borderId="20" applyAlignment="1" applyProtection="1" pivotButton="0" quotePrefix="0" xfId="1">
      <alignment horizontal="center" vertical="center" textRotation="90" wrapText="1"/>
      <protection locked="1" hidden="1"/>
    </xf>
    <xf numFmtId="0" fontId="16" fillId="0" borderId="22" applyAlignment="1" applyProtection="1" pivotButton="0" quotePrefix="0" xfId="1">
      <alignment horizontal="center" vertical="center" textRotation="90" wrapText="1"/>
      <protection locked="1" hidden="1"/>
    </xf>
    <xf numFmtId="0" fontId="5" fillId="2" borderId="17" applyAlignment="1" applyProtection="1" pivotButton="0" quotePrefix="0" xfId="1">
      <alignment horizontal="left" vertical="center"/>
      <protection locked="1" hidden="1"/>
    </xf>
    <xf numFmtId="0" fontId="5" fillId="2" borderId="18" applyAlignment="1" applyProtection="1" pivotButton="0" quotePrefix="0" xfId="1">
      <alignment horizontal="left" vertical="center"/>
      <protection locked="1" hidden="1"/>
    </xf>
    <xf numFmtId="0" fontId="5" fillId="2" borderId="19" applyAlignment="1" applyProtection="1" pivotButton="0" quotePrefix="0" xfId="1">
      <alignment horizontal="left" vertical="center"/>
      <protection locked="1" hidden="1"/>
    </xf>
    <xf numFmtId="166" fontId="9" fillId="2" borderId="10" applyAlignment="1" applyProtection="1" pivotButton="0" quotePrefix="0" xfId="2">
      <alignment horizontal="center" vertical="center"/>
      <protection locked="0" hidden="0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5" fillId="0" borderId="13" applyAlignment="1" applyProtection="1" pivotButton="0" quotePrefix="0" xfId="1">
      <alignment horizontal="center" vertical="center"/>
      <protection locked="1" hidden="1"/>
    </xf>
    <xf numFmtId="0" fontId="5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0" fontId="5" fillId="0" borderId="16" applyAlignment="1" applyProtection="1" pivotButton="0" quotePrefix="0" xfId="1">
      <alignment horizontal="center" vertical="center"/>
      <protection locked="1" hidden="1"/>
    </xf>
    <xf numFmtId="165" fontId="9" fillId="0" borderId="13" applyAlignment="1" applyProtection="1" pivotButton="0" quotePrefix="0" xfId="1">
      <alignment horizontal="center" vertical="center"/>
      <protection locked="0" hidden="0"/>
    </xf>
    <xf numFmtId="165" fontId="9" fillId="0" borderId="23" applyAlignment="1" applyProtection="1" pivotButton="0" quotePrefix="0" xfId="1">
      <alignment horizontal="center" vertical="center"/>
      <protection locked="0" hidden="0"/>
    </xf>
    <xf numFmtId="165" fontId="9" fillId="0" borderId="14" applyAlignment="1" applyProtection="1" pivotButton="0" quotePrefix="0" xfId="1">
      <alignment horizontal="center" vertical="center"/>
      <protection locked="0" hidden="0"/>
    </xf>
    <xf numFmtId="165" fontId="9" fillId="0" borderId="15" applyAlignment="1" applyProtection="1" pivotButton="0" quotePrefix="0" xfId="1">
      <alignment horizontal="center" vertical="center"/>
      <protection locked="0" hidden="0"/>
    </xf>
    <xf numFmtId="165" fontId="9" fillId="0" borderId="24" applyAlignment="1" applyProtection="1" pivotButton="0" quotePrefix="0" xfId="1">
      <alignment horizontal="center" vertical="center"/>
      <protection locked="0" hidden="0"/>
    </xf>
    <xf numFmtId="165" fontId="9" fillId="0" borderId="16" applyAlignment="1" applyProtection="1" pivotButton="0" quotePrefix="0" xfId="1">
      <alignment horizontal="center" vertical="center"/>
      <protection locked="0" hidden="0"/>
    </xf>
    <xf numFmtId="0" fontId="12" fillId="0" borderId="20" applyAlignment="1" applyProtection="1" pivotButton="0" quotePrefix="1" xfId="1">
      <alignment horizontal="center" vertical="center"/>
      <protection locked="1" hidden="1"/>
    </xf>
    <xf numFmtId="0" fontId="12" fillId="0" borderId="22" applyAlignment="1" applyProtection="1" pivotButton="0" quotePrefix="1" xfId="1">
      <alignment horizontal="center" vertical="center"/>
      <protection locked="1" hidden="1"/>
    </xf>
    <xf numFmtId="0" fontId="5" fillId="0" borderId="20" applyAlignment="1" applyProtection="1" pivotButton="0" quotePrefix="0" xfId="1">
      <alignment horizontal="center" vertical="center"/>
      <protection locked="1" hidden="1"/>
    </xf>
    <xf numFmtId="0" fontId="5" fillId="0" borderId="22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1">
      <alignment horizontal="center" vertical="center" wrapText="1"/>
      <protection locked="1" hidden="1"/>
    </xf>
    <xf numFmtId="0" fontId="5" fillId="0" borderId="23" applyAlignment="1" applyProtection="1" pivotButton="0" quotePrefix="0" xfId="1">
      <alignment horizontal="center" vertical="center" wrapText="1"/>
      <protection locked="1" hidden="1"/>
    </xf>
    <xf numFmtId="0" fontId="5" fillId="0" borderId="14" applyAlignment="1" applyProtection="1" pivotButton="0" quotePrefix="0" xfId="1">
      <alignment horizontal="center" vertical="center" wrapText="1"/>
      <protection locked="1" hidden="1"/>
    </xf>
    <xf numFmtId="0" fontId="5" fillId="0" borderId="15" applyAlignment="1" applyProtection="1" pivotButton="0" quotePrefix="0" xfId="1">
      <alignment horizontal="center" vertical="center" wrapText="1"/>
      <protection locked="1" hidden="1"/>
    </xf>
    <xf numFmtId="0" fontId="5" fillId="0" borderId="24" applyAlignment="1" applyProtection="1" pivotButton="0" quotePrefix="0" xfId="1">
      <alignment horizontal="center" vertical="center" wrapText="1"/>
      <protection locked="1" hidden="1"/>
    </xf>
    <xf numFmtId="0" fontId="5" fillId="0" borderId="16" applyAlignment="1" applyProtection="1" pivotButton="0" quotePrefix="0" xfId="1">
      <alignment horizontal="center" vertical="center" wrapText="1"/>
      <protection locked="1" hidden="1"/>
    </xf>
    <xf numFmtId="0" fontId="5" fillId="0" borderId="17" applyAlignment="1" applyProtection="1" pivotButton="0" quotePrefix="0" xfId="1">
      <alignment horizontal="left" vertical="center" wrapText="1"/>
      <protection locked="1" hidden="1"/>
    </xf>
    <xf numFmtId="0" fontId="5" fillId="0" borderId="18" applyAlignment="1" applyProtection="1" pivotButton="0" quotePrefix="0" xfId="1">
      <alignment horizontal="left" vertical="center" wrapText="1"/>
      <protection locked="1" hidden="1"/>
    </xf>
    <xf numFmtId="0" fontId="5" fillId="0" borderId="19" applyAlignment="1" applyProtection="1" pivotButton="0" quotePrefix="0" xfId="1">
      <alignment horizontal="left" vertical="center" wrapText="1"/>
      <protection locked="1" hidden="1"/>
    </xf>
    <xf numFmtId="0" fontId="6" fillId="0" borderId="17" applyAlignment="1" applyProtection="1" pivotButton="0" quotePrefix="0" xfId="1">
      <alignment horizontal="left" vertical="center"/>
      <protection locked="1" hidden="1"/>
    </xf>
    <xf numFmtId="0" fontId="6" fillId="0" borderId="18" applyAlignment="1" applyProtection="1" pivotButton="0" quotePrefix="0" xfId="1">
      <alignment horizontal="left" vertical="center"/>
      <protection locked="1" hidden="1"/>
    </xf>
    <xf numFmtId="0" fontId="6" fillId="0" borderId="19" applyAlignment="1" applyProtection="1" pivotButton="0" quotePrefix="0" xfId="1">
      <alignment horizontal="left" vertical="center"/>
      <protection locked="1" hidden="1"/>
    </xf>
    <xf numFmtId="165" fontId="13" fillId="0" borderId="0" applyAlignment="1" applyProtection="1" pivotButton="0" quotePrefix="0" xfId="1">
      <alignment horizontal="right" vertical="center"/>
      <protection locked="1" hidden="1"/>
    </xf>
    <xf numFmtId="0" fontId="5" fillId="2" borderId="17" applyAlignment="1" applyProtection="1" pivotButton="0" quotePrefix="0" xfId="1">
      <alignment horizontal="center" vertical="center"/>
      <protection locked="1" hidden="1"/>
    </xf>
    <xf numFmtId="0" fontId="5" fillId="2" borderId="19" applyAlignment="1" applyProtection="1" pivotButton="0" quotePrefix="0" xfId="1">
      <alignment horizontal="center" vertical="center"/>
      <protection locked="1" hidden="1"/>
    </xf>
    <xf numFmtId="167" fontId="13" fillId="2" borderId="17" applyAlignment="1" applyProtection="1" pivotButton="0" quotePrefix="0" xfId="1">
      <alignment horizontal="center" vertical="center"/>
      <protection locked="0" hidden="0"/>
    </xf>
    <xf numFmtId="167" fontId="13" fillId="2" borderId="18" applyAlignment="1" applyProtection="1" pivotButton="0" quotePrefix="0" xfId="1">
      <alignment horizontal="center" vertical="center"/>
      <protection locked="0" hidden="0"/>
    </xf>
    <xf numFmtId="167" fontId="13" fillId="2" borderId="19" applyAlignment="1" applyProtection="1" pivotButton="0" quotePrefix="0" xfId="1">
      <alignment horizontal="center" vertical="center"/>
      <protection locked="0" hidden="0"/>
    </xf>
    <xf numFmtId="165" fontId="13" fillId="2" borderId="10" applyAlignment="1" applyProtection="1" pivotButton="0" quotePrefix="0" xfId="1">
      <alignment horizontal="right" vertical="center"/>
      <protection locked="0" hidden="0"/>
    </xf>
    <xf numFmtId="0" fontId="6" fillId="0" borderId="17" applyAlignment="1" applyProtection="1" pivotButton="0" quotePrefix="0" xfId="1">
      <alignment vertical="center"/>
      <protection locked="1" hidden="1"/>
    </xf>
    <xf numFmtId="0" fontId="6" fillId="0" borderId="18" applyAlignment="1" applyProtection="1" pivotButton="0" quotePrefix="0" xfId="1">
      <alignment vertical="center"/>
      <protection locked="1" hidden="1"/>
    </xf>
    <xf numFmtId="0" fontId="6" fillId="0" borderId="19" applyAlignment="1" applyProtection="1" pivotButton="0" quotePrefix="0" xfId="1">
      <alignment vertical="center"/>
      <protection locked="1" hidden="1"/>
    </xf>
    <xf numFmtId="164" fontId="6" fillId="0" borderId="17" applyAlignment="1" applyProtection="1" pivotButton="0" quotePrefix="0" xfId="1">
      <alignment horizontal="center" vertical="center"/>
      <protection locked="1" hidden="1"/>
    </xf>
    <xf numFmtId="164" fontId="6" fillId="0" borderId="18" applyAlignment="1" applyProtection="1" pivotButton="0" quotePrefix="0" xfId="1">
      <alignment horizontal="center" vertical="center"/>
      <protection locked="1" hidden="1"/>
    </xf>
    <xf numFmtId="164" fontId="6" fillId="0" borderId="19" applyAlignment="1" applyProtection="1" pivotButton="0" quotePrefix="0" xfId="1">
      <alignment horizontal="center" vertical="center"/>
      <protection locked="1" hidden="1"/>
    </xf>
    <xf numFmtId="165" fontId="5" fillId="0" borderId="17" applyAlignment="1" applyProtection="1" pivotButton="0" quotePrefix="0" xfId="1">
      <alignment horizontal="center" vertical="center"/>
      <protection locked="0" hidden="0"/>
    </xf>
    <xf numFmtId="165" fontId="5" fillId="0" borderId="18" applyAlignment="1" applyProtection="1" pivotButton="0" quotePrefix="0" xfId="1">
      <alignment horizontal="center" vertical="center"/>
      <protection locked="0" hidden="0"/>
    </xf>
    <xf numFmtId="165" fontId="5" fillId="0" borderId="19" applyAlignment="1" applyProtection="1" pivotButton="0" quotePrefix="0" xfId="1">
      <alignment horizontal="center" vertical="center"/>
      <protection locked="0" hidden="0"/>
    </xf>
    <xf numFmtId="165" fontId="9" fillId="0" borderId="10" applyAlignment="1" applyProtection="1" pivotButton="0" quotePrefix="0" xfId="1">
      <alignment horizontal="right" vertical="center"/>
      <protection locked="1" hidden="1"/>
    </xf>
    <xf numFmtId="168" fontId="5" fillId="2" borderId="17" applyAlignment="1" applyProtection="1" pivotButton="0" quotePrefix="0" xfId="1">
      <alignment horizontal="center" vertical="center"/>
      <protection locked="0" hidden="0"/>
    </xf>
    <xf numFmtId="168" fontId="5" fillId="2" borderId="18" applyAlignment="1" applyProtection="1" pivotButton="0" quotePrefix="0" xfId="1">
      <alignment horizontal="center" vertical="center"/>
      <protection locked="0" hidden="0"/>
    </xf>
    <xf numFmtId="168" fontId="5" fillId="2" borderId="19" applyAlignment="1" applyProtection="1" pivotButton="0" quotePrefix="0" xfId="1">
      <alignment horizontal="center" vertical="center"/>
      <protection locked="0" hidden="0"/>
    </xf>
    <xf numFmtId="169" fontId="9" fillId="0" borderId="17" applyAlignment="1" applyProtection="1" pivotButton="0" quotePrefix="0" xfId="1">
      <alignment horizontal="center" vertical="center"/>
      <protection locked="0" hidden="0"/>
    </xf>
    <xf numFmtId="169" fontId="9" fillId="0" borderId="18" applyAlignment="1" applyProtection="1" pivotButton="0" quotePrefix="0" xfId="1">
      <alignment horizontal="center" vertical="center"/>
      <protection locked="0" hidden="0"/>
    </xf>
    <xf numFmtId="169" fontId="9" fillId="0" borderId="19" applyAlignment="1" applyProtection="1" pivotButton="0" quotePrefix="0" xfId="1">
      <alignment horizontal="center" vertical="center"/>
      <protection locked="0" hidden="0"/>
    </xf>
    <xf numFmtId="0" fontId="7" fillId="0" borderId="17" applyAlignment="1" applyProtection="1" pivotButton="0" quotePrefix="0" xfId="1">
      <alignment horizontal="center" vertical="center"/>
      <protection locked="1" hidden="1"/>
    </xf>
    <xf numFmtId="0" fontId="7" fillId="0" borderId="19" applyAlignment="1" applyProtection="1" pivotButton="0" quotePrefix="0" xfId="1">
      <alignment horizontal="center" vertical="center"/>
      <protection locked="1" hidden="1"/>
    </xf>
    <xf numFmtId="10" fontId="5" fillId="0" borderId="17" applyAlignment="1" applyProtection="1" pivotButton="0" quotePrefix="0" xfId="1">
      <alignment horizontal="center" vertical="center"/>
      <protection locked="0" hidden="0"/>
    </xf>
    <xf numFmtId="10" fontId="5" fillId="0" borderId="19" applyAlignment="1" applyProtection="1" pivotButton="0" quotePrefix="0" xfId="1">
      <alignment horizontal="center" vertical="center"/>
      <protection locked="0" hidden="0"/>
    </xf>
    <xf numFmtId="170" fontId="5" fillId="0" borderId="17" applyAlignment="1" applyProtection="1" pivotButton="0" quotePrefix="0" xfId="1">
      <alignment horizontal="center" vertical="center"/>
      <protection locked="0" hidden="0"/>
    </xf>
    <xf numFmtId="170" fontId="5" fillId="0" borderId="19" applyAlignment="1" applyProtection="1" pivotButton="0" quotePrefix="0" xfId="1">
      <alignment horizontal="center" vertical="center"/>
      <protection locked="0" hidden="0"/>
    </xf>
    <xf numFmtId="0" fontId="5" fillId="0" borderId="21" applyAlignment="1" applyProtection="1" pivotButton="0" quotePrefix="0" xfId="1">
      <alignment horizontal="center" vertical="center"/>
      <protection locked="1" hidden="1"/>
    </xf>
    <xf numFmtId="0" fontId="0" fillId="0" borderId="13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/>
    </xf>
    <xf numFmtId="0" fontId="6" fillId="2" borderId="20" applyAlignment="1" applyProtection="1" pivotButton="0" quotePrefix="0" xfId="1">
      <alignment horizontal="center" vertical="center" textRotation="90" wrapText="1"/>
      <protection locked="1" hidden="1"/>
    </xf>
    <xf numFmtId="0" fontId="6" fillId="2" borderId="21" applyAlignment="1" applyProtection="1" pivotButton="0" quotePrefix="0" xfId="1">
      <alignment horizontal="center" vertical="center" textRotation="90" wrapText="1"/>
      <protection locked="1" hidden="1"/>
    </xf>
    <xf numFmtId="0" fontId="6" fillId="2" borderId="22" applyAlignment="1" applyProtection="1" pivotButton="0" quotePrefix="0" xfId="1">
      <alignment horizontal="center" vertical="center" textRotation="90" wrapText="1"/>
      <protection locked="1" hidden="1"/>
    </xf>
    <xf numFmtId="0" fontId="5" fillId="0" borderId="23" applyAlignment="1" applyProtection="1" pivotButton="0" quotePrefix="0" xfId="1">
      <alignment horizontal="left" vertical="center"/>
      <protection locked="1" hidden="1"/>
    </xf>
    <xf numFmtId="0" fontId="0" fillId="0" borderId="15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2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5" fillId="0" borderId="13" applyAlignment="1" applyProtection="1" pivotButton="0" quotePrefix="0" xfId="1">
      <alignment horizontal="left" vertical="center" wrapText="1"/>
      <protection locked="1" hidden="1"/>
    </xf>
    <xf numFmtId="0" fontId="5" fillId="0" borderId="23" applyAlignment="1" applyProtection="1" pivotButton="0" quotePrefix="0" xfId="1">
      <alignment horizontal="left" vertical="center" wrapText="1"/>
      <protection locked="1" hidden="1"/>
    </xf>
    <xf numFmtId="0" fontId="5" fillId="0" borderId="14" applyAlignment="1" applyProtection="1" pivotButton="0" quotePrefix="0" xfId="1">
      <alignment horizontal="left" vertical="center" wrapText="1"/>
      <protection locked="1" hidden="1"/>
    </xf>
    <xf numFmtId="0" fontId="5" fillId="0" borderId="15" applyAlignment="1" applyProtection="1" pivotButton="0" quotePrefix="0" xfId="1">
      <alignment horizontal="left" vertical="center" wrapText="1"/>
      <protection locked="1" hidden="1"/>
    </xf>
    <xf numFmtId="0" fontId="5" fillId="0" borderId="24" applyAlignment="1" applyProtection="1" pivotButton="0" quotePrefix="0" xfId="1">
      <alignment horizontal="left" vertical="center" wrapText="1"/>
      <protection locked="1" hidden="1"/>
    </xf>
    <xf numFmtId="0" fontId="5" fillId="0" borderId="16" applyAlignment="1" applyProtection="1" pivotButton="0" quotePrefix="0" xfId="1">
      <alignment horizontal="left" vertical="center" wrapText="1"/>
      <protection locked="1" hidden="1"/>
    </xf>
    <xf numFmtId="49" fontId="5" fillId="0" borderId="17" applyAlignment="1" applyProtection="1" pivotButton="0" quotePrefix="0" xfId="1">
      <alignment horizontal="center" vertical="center"/>
      <protection locked="1" hidden="1"/>
    </xf>
    <xf numFmtId="49" fontId="5" fillId="0" borderId="19" applyAlignment="1" applyProtection="1" pivotButton="0" quotePrefix="1" xfId="1">
      <alignment horizontal="center" vertical="center"/>
      <protection locked="1" hidden="1"/>
    </xf>
    <xf numFmtId="0" fontId="17" fillId="0" borderId="17" applyAlignment="1" applyProtection="1" pivotButton="0" quotePrefix="1" xfId="1">
      <alignment horizontal="left" vertical="center"/>
      <protection locked="0" hidden="0"/>
    </xf>
    <xf numFmtId="0" fontId="17" fillId="0" borderId="18" applyAlignment="1" applyProtection="1" pivotButton="0" quotePrefix="1" xfId="1">
      <alignment horizontal="left" vertical="center"/>
      <protection locked="0" hidden="0"/>
    </xf>
    <xf numFmtId="0" fontId="17" fillId="0" borderId="19" applyAlignment="1" applyProtection="1" pivotButton="0" quotePrefix="1" xfId="1">
      <alignment horizontal="left" vertical="center"/>
      <protection locked="0" hidden="0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2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6" fillId="0" borderId="15" applyAlignment="1" applyProtection="1" pivotButton="0" quotePrefix="0" xfId="1">
      <alignment horizontal="center" vertical="center"/>
      <protection locked="1" hidden="1"/>
    </xf>
    <xf numFmtId="0" fontId="6" fillId="0" borderId="24" applyAlignment="1" applyProtection="1" pivotButton="0" quotePrefix="0" xfId="1">
      <alignment horizontal="center" vertical="center"/>
      <protection locked="1" hidden="1"/>
    </xf>
    <xf numFmtId="0" fontId="6" fillId="0" borderId="16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1">
      <alignment horizontal="center" vertical="center"/>
      <protection locked="0" hidden="1"/>
    </xf>
    <xf numFmtId="0" fontId="5" fillId="0" borderId="14" applyAlignment="1" applyProtection="1" pivotButton="0" quotePrefix="0" xfId="1">
      <alignment horizontal="center" vertical="center"/>
      <protection locked="0" hidden="1"/>
    </xf>
    <xf numFmtId="0" fontId="5" fillId="0" borderId="24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0" fontId="5" fillId="0" borderId="23" applyAlignment="1" applyProtection="1" pivotButton="0" quotePrefix="0" xfId="1">
      <alignment horizontal="center" vertical="center"/>
      <protection locked="1" hidden="1"/>
    </xf>
    <xf numFmtId="0" fontId="5" fillId="0" borderId="24" applyAlignment="1" applyProtection="1" pivotButton="0" quotePrefix="0" xfId="1">
      <alignment horizontal="center" vertical="center"/>
      <protection locked="1" hidden="1"/>
    </xf>
    <xf numFmtId="0" fontId="5" fillId="0" borderId="11" applyAlignment="1" applyProtection="1" pivotButton="0" quotePrefix="0" xfId="1">
      <alignment horizontal="left" vertical="center" wrapText="1"/>
      <protection locked="1" hidden="1"/>
    </xf>
    <xf numFmtId="0" fontId="5" fillId="0" borderId="0" applyAlignment="1" applyProtection="1" pivotButton="0" quotePrefix="0" xfId="1">
      <alignment horizontal="left" vertical="center" wrapText="1"/>
      <protection locked="1" hidden="1"/>
    </xf>
    <xf numFmtId="0" fontId="5" fillId="0" borderId="12" applyAlignment="1" applyProtection="1" pivotButton="0" quotePrefix="0" xfId="1">
      <alignment horizontal="left" vertical="center" wrapText="1"/>
      <protection locked="1" hidden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0" fillId="0" borderId="30" pivotButton="0" quotePrefix="0" xfId="0"/>
    <xf numFmtId="172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72" fontId="1" fillId="0" borderId="1" pivotButton="0" quotePrefix="0" xfId="0"/>
    <xf numFmtId="3" fontId="28" fillId="0" borderId="1" pivotButton="0" quotePrefix="0" xfId="0"/>
    <xf numFmtId="0" fontId="22" fillId="4" borderId="1" applyAlignment="1" pivotButton="0" quotePrefix="0" xfId="0">
      <alignment horizontal="center"/>
    </xf>
    <xf numFmtId="0" fontId="0" fillId="0" borderId="25" pivotButton="0" quotePrefix="0" xfId="0"/>
    <xf numFmtId="0" fontId="21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3" fontId="19" fillId="0" borderId="1" applyAlignment="1" pivotButton="0" quotePrefix="0" xfId="0">
      <alignment horizontal="right"/>
    </xf>
    <xf numFmtId="0" fontId="21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/>
    </xf>
    <xf numFmtId="3" fontId="21" fillId="0" borderId="1" pivotButton="0" quotePrefix="0" xfId="0"/>
    <xf numFmtId="0" fontId="19" fillId="0" borderId="1" applyAlignment="1" pivotButton="0" quotePrefix="0" xfId="0">
      <alignment horizontal="left"/>
    </xf>
    <xf numFmtId="0" fontId="21" fillId="3" borderId="1" applyAlignment="1" pivotButton="0" quotePrefix="0" xfId="0">
      <alignment horizontal="left"/>
    </xf>
    <xf numFmtId="3" fontId="19" fillId="3" borderId="1" pivotButton="0" quotePrefix="0" xfId="0"/>
    <xf numFmtId="3" fontId="25" fillId="0" borderId="1" pivotButton="0" quotePrefix="0" xfId="0"/>
    <xf numFmtId="0" fontId="19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/>
    </xf>
    <xf numFmtId="0" fontId="27" fillId="0" borderId="0" pivotButton="0" quotePrefix="0" xfId="0"/>
    <xf numFmtId="3" fontId="27" fillId="0" borderId="0" pivotButton="0" quotePrefix="0" xfId="0"/>
    <xf numFmtId="164" fontId="5" fillId="0" borderId="0" applyAlignment="1" applyProtection="1" pivotButton="0" quotePrefix="0" xfId="1">
      <alignment horizontal="center" vertical="center"/>
      <protection locked="1" hidden="1"/>
    </xf>
    <xf numFmtId="0" fontId="0" fillId="0" borderId="18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64" fontId="5" fillId="0" borderId="0" applyAlignment="1" applyProtection="1" pivotButton="0" quotePrefix="1" xfId="1">
      <alignment vertical="center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164" fontId="5" fillId="0" borderId="0" applyAlignment="1" applyProtection="1" pivotButton="0" quotePrefix="0" xfId="1">
      <alignment vertical="center"/>
      <protection locked="1" hidden="1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165" fontId="9" fillId="0" borderId="10" applyAlignment="1" applyProtection="1" pivotButton="0" quotePrefix="0" xfId="1">
      <alignment horizontal="right" vertical="center"/>
      <protection locked="0" hidden="0"/>
    </xf>
    <xf numFmtId="165" fontId="9" fillId="0" borderId="10" applyAlignment="1" applyProtection="1" pivotButton="0" quotePrefix="0" xfId="1">
      <alignment horizontal="right" vertical="center"/>
      <protection locked="1" hidden="1"/>
    </xf>
    <xf numFmtId="0" fontId="0" fillId="0" borderId="21" applyProtection="1" pivotButton="0" quotePrefix="0" xfId="0">
      <protection locked="1" hidden="1"/>
    </xf>
    <xf numFmtId="0" fontId="5" fillId="5" borderId="10" applyAlignment="1" applyProtection="1" pivotButton="0" quotePrefix="0" xfId="1">
      <alignment horizontal="center" vertical="center"/>
      <protection locked="1" hidden="1"/>
    </xf>
    <xf numFmtId="0" fontId="0" fillId="5" borderId="21" applyProtection="1" pivotButton="0" quotePrefix="0" xfId="0">
      <protection locked="1" hidden="1"/>
    </xf>
    <xf numFmtId="0" fontId="5" fillId="5" borderId="10" applyAlignment="1" applyProtection="1" pivotButton="0" quotePrefix="0" xfId="1">
      <alignment horizontal="left" vertical="center"/>
      <protection locked="1" hidden="1"/>
    </xf>
    <xf numFmtId="0" fontId="0" fillId="5" borderId="18" applyProtection="1" pivotButton="0" quotePrefix="0" xfId="0">
      <protection locked="1" hidden="1"/>
    </xf>
    <xf numFmtId="0" fontId="0" fillId="5" borderId="19" applyProtection="1" pivotButton="0" quotePrefix="0" xfId="0">
      <protection locked="1" hidden="1"/>
    </xf>
    <xf numFmtId="0" fontId="7" fillId="5" borderId="10" applyAlignment="1" applyProtection="1" pivotButton="0" quotePrefix="0" xfId="1">
      <alignment horizontal="center" vertical="center"/>
      <protection locked="1" hidden="1"/>
    </xf>
    <xf numFmtId="0" fontId="9" fillId="5" borderId="10" applyAlignment="1" applyProtection="1" pivotButton="0" quotePrefix="0" xfId="1">
      <alignment horizontal="center" vertical="center"/>
      <protection locked="0" hidden="0"/>
    </xf>
    <xf numFmtId="0" fontId="0" fillId="5" borderId="18" applyProtection="1" pivotButton="0" quotePrefix="0" xfId="0">
      <protection locked="0" hidden="0"/>
    </xf>
    <xf numFmtId="0" fontId="0" fillId="5" borderId="19" applyProtection="1" pivotButton="0" quotePrefix="0" xfId="0">
      <protection locked="0" hidden="0"/>
    </xf>
    <xf numFmtId="165" fontId="9" fillId="5" borderId="10" applyAlignment="1" applyProtection="1" pivotButton="0" quotePrefix="0" xfId="1">
      <alignment horizontal="center" vertical="center"/>
      <protection locked="0" hidden="0"/>
    </xf>
    <xf numFmtId="165" fontId="9" fillId="5" borderId="10" applyAlignment="1" applyProtection="1" pivotButton="0" quotePrefix="0" xfId="1">
      <alignment horizontal="right" vertical="center"/>
      <protection locked="1" hidden="1"/>
    </xf>
    <xf numFmtId="0" fontId="0" fillId="5" borderId="22" applyProtection="1" pivotButton="0" quotePrefix="0" xfId="0">
      <protection locked="1" hidden="1"/>
    </xf>
    <xf numFmtId="165" fontId="9" fillId="5" borderId="10" applyAlignment="1" applyProtection="1" pivotButton="0" quotePrefix="0" xfId="1">
      <alignment horizontal="right" vertical="center"/>
      <protection locked="0" hidden="0"/>
    </xf>
    <xf numFmtId="166" fontId="9" fillId="0" borderId="10" applyAlignment="1" applyProtection="1" pivotButton="0" quotePrefix="0" xfId="2">
      <alignment horizontal="center" vertical="center"/>
      <protection locked="0" hidden="0"/>
    </xf>
    <xf numFmtId="3" fontId="9" fillId="0" borderId="10" applyAlignment="1" applyProtection="1" pivotButton="0" quotePrefix="0" xfId="1">
      <alignment horizontal="right" vertical="center"/>
      <protection locked="0" hidden="0"/>
    </xf>
    <xf numFmtId="166" fontId="9" fillId="5" borderId="10" applyAlignment="1" applyProtection="1" pivotButton="0" quotePrefix="0" xfId="2">
      <alignment horizontal="center" vertical="center"/>
      <protection locked="0" hidden="0"/>
    </xf>
    <xf numFmtId="0" fontId="12" fillId="5" borderId="10" applyAlignment="1" applyProtection="1" pivotButton="0" quotePrefix="1" xfId="1">
      <alignment horizontal="center" vertical="center"/>
      <protection locked="1" hidden="1"/>
    </xf>
    <xf numFmtId="3" fontId="13" fillId="0" borderId="10" applyAlignment="1" applyProtection="1" pivotButton="0" quotePrefix="0" xfId="1">
      <alignment horizontal="right" vertical="center"/>
      <protection locked="1" hidden="1"/>
    </xf>
    <xf numFmtId="0" fontId="6" fillId="2" borderId="10" applyAlignment="1" applyProtection="1" pivotButton="0" quotePrefix="0" xfId="1">
      <alignment horizontal="center" vertical="center" textRotation="90" wrapText="1"/>
      <protection locked="1" hidden="1"/>
    </xf>
    <xf numFmtId="165" fontId="9" fillId="0" borderId="10" applyAlignment="1" applyProtection="1" pivotButton="0" quotePrefix="0" xfId="1">
      <alignment horizontal="center" vertical="center"/>
      <protection locked="0" hidden="0"/>
    </xf>
    <xf numFmtId="0" fontId="5" fillId="5" borderId="10" applyAlignment="1" applyProtection="1" pivotButton="0" quotePrefix="0" xfId="1">
      <alignment horizontal="center" vertical="center" textRotation="90" wrapText="1"/>
      <protection locked="1" hidden="1"/>
    </xf>
    <xf numFmtId="3" fontId="9" fillId="5" borderId="10" applyAlignment="1" applyProtection="1" pivotButton="0" quotePrefix="0" xfId="1">
      <alignment horizontal="right" vertical="center"/>
      <protection locked="0" hidden="0"/>
    </xf>
    <xf numFmtId="0" fontId="5" fillId="2" borderId="10" applyAlignment="1" applyProtection="1" pivotButton="0" quotePrefix="0" xfId="1">
      <alignment horizontal="left" vertical="center"/>
      <protection locked="1" hidden="1"/>
    </xf>
    <xf numFmtId="166" fontId="9" fillId="2" borderId="10" applyAlignment="1" applyProtection="1" pivotButton="0" quotePrefix="0" xfId="2">
      <alignment horizontal="center" vertical="center"/>
      <protection locked="0" hidden="0"/>
    </xf>
    <xf numFmtId="167" fontId="9" fillId="2" borderId="10" applyAlignment="1" applyProtection="1" pivotButton="0" quotePrefix="0" xfId="1">
      <alignment horizontal="right" vertical="center"/>
      <protection locked="0" hidden="0"/>
    </xf>
    <xf numFmtId="0" fontId="16" fillId="0" borderId="10" applyAlignment="1" applyProtection="1" pivotButton="0" quotePrefix="0" xfId="1">
      <alignment horizontal="center" vertical="center" textRotation="90" wrapText="1"/>
      <protection locked="1" hidden="1"/>
    </xf>
    <xf numFmtId="0" fontId="0" fillId="0" borderId="18" pivotButton="0" quotePrefix="0" xfId="0"/>
    <xf numFmtId="0" fontId="0" fillId="0" borderId="19" pivotButton="0" quotePrefix="0" xfId="0"/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0" fillId="0" borderId="2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0" borderId="10" applyAlignment="1" applyProtection="1" pivotButton="0" quotePrefix="0" xfId="1">
      <alignment horizontal="left" vertical="center" wrapText="1"/>
      <protection locked="1" hidden="1"/>
    </xf>
    <xf numFmtId="165" fontId="13" fillId="0" borderId="0" applyAlignment="1" applyProtection="1" pivotButton="0" quotePrefix="0" xfId="1">
      <alignment horizontal="right" vertical="center"/>
      <protection locked="1" hidden="1"/>
    </xf>
    <xf numFmtId="0" fontId="0" fillId="0" borderId="0" applyProtection="1" pivotButton="0" quotePrefix="0" xfId="0">
      <protection locked="1" hidden="1"/>
    </xf>
    <xf numFmtId="167" fontId="13" fillId="2" borderId="10" applyAlignment="1" applyProtection="1" pivotButton="0" quotePrefix="0" xfId="1">
      <alignment horizontal="center" vertical="center"/>
      <protection locked="0" hidden="0"/>
    </xf>
    <xf numFmtId="3" fontId="13" fillId="2" borderId="10" applyAlignment="1" applyProtection="1" pivotButton="0" quotePrefix="0" xfId="1">
      <alignment horizontal="right" vertical="center"/>
      <protection locked="0" hidden="0"/>
    </xf>
    <xf numFmtId="164" fontId="6" fillId="0" borderId="10" applyAlignment="1" applyProtection="1" pivotButton="0" quotePrefix="0" xfId="1">
      <alignment horizontal="center" vertical="center"/>
      <protection locked="1" hidden="1"/>
    </xf>
    <xf numFmtId="168" fontId="5" fillId="2" borderId="10" applyAlignment="1" applyProtection="1" pivotButton="0" quotePrefix="0" xfId="1">
      <alignment horizontal="center" vertical="center"/>
      <protection locked="0" hidden="0"/>
    </xf>
    <xf numFmtId="3" fontId="9" fillId="0" borderId="10" applyAlignment="1" applyProtection="1" pivotButton="0" quotePrefix="0" xfId="1">
      <alignment horizontal="center" vertical="center"/>
      <protection locked="0" hidden="0"/>
    </xf>
    <xf numFmtId="10" fontId="5" fillId="0" borderId="10" applyAlignment="1" applyProtection="1" pivotButton="0" quotePrefix="0" xfId="1">
      <alignment horizontal="center" vertical="center"/>
      <protection locked="0" hidden="0"/>
    </xf>
    <xf numFmtId="165" fontId="5" fillId="0" borderId="10" applyAlignment="1" applyProtection="1" pivotButton="0" quotePrefix="0" xfId="1">
      <alignment horizontal="center" vertical="center"/>
      <protection locked="0" hidden="0"/>
    </xf>
    <xf numFmtId="3" fontId="9" fillId="0" borderId="10" applyAlignment="1" applyProtection="1" pivotButton="0" quotePrefix="0" xfId="1">
      <alignment horizontal="right" vertical="center"/>
      <protection locked="1" hidden="1"/>
    </xf>
    <xf numFmtId="169" fontId="9" fillId="0" borderId="10" applyAlignment="1" applyProtection="1" pivotButton="0" quotePrefix="0" xfId="1">
      <alignment horizontal="center" vertical="center"/>
      <protection locked="0" hidden="0"/>
    </xf>
    <xf numFmtId="0" fontId="0" fillId="0" borderId="20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14" pivotButton="0" quotePrefix="0" xfId="0"/>
    <xf numFmtId="0" fontId="0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16" pivotButton="0" quotePrefix="0" xfId="0"/>
    <xf numFmtId="0" fontId="17" fillId="0" borderId="10" applyAlignment="1" applyProtection="1" pivotButton="0" quotePrefix="1" xfId="1">
      <alignment horizontal="left" vertical="center"/>
      <protection locked="0" hidden="0"/>
    </xf>
    <xf numFmtId="0" fontId="5" fillId="0" borderId="19" applyAlignment="1" applyProtection="1" pivotButton="0" quotePrefix="0" xfId="1">
      <alignment horizontal="center" vertical="center"/>
      <protection locked="0" hidden="1"/>
    </xf>
    <xf numFmtId="0" fontId="0" fillId="0" borderId="14" applyProtection="1" pivotButton="0" quotePrefix="0" xfId="0">
      <protection locked="0" hidden="1"/>
    </xf>
    <xf numFmtId="0" fontId="0" fillId="0" borderId="24" applyProtection="1" pivotButton="0" quotePrefix="0" xfId="0">
      <protection locked="0" hidden="1"/>
    </xf>
    <xf numFmtId="0" fontId="0" fillId="0" borderId="16" applyProtection="1" pivotButton="0" quotePrefix="0" xfId="0">
      <protection locked="0" hidden="1"/>
    </xf>
    <xf numFmtId="0" fontId="0" fillId="0" borderId="6" pivotButton="0" quotePrefix="0" xfId="0"/>
    <xf numFmtId="0" fontId="28" fillId="0" borderId="0" pivotButton="0" quotePrefix="0" xfId="0"/>
    <xf numFmtId="9" fontId="28" fillId="0" borderId="0" pivotButton="0" quotePrefix="0" xfId="0"/>
    <xf numFmtId="0" fontId="29" fillId="6" borderId="0" applyAlignment="1" pivotButton="0" quotePrefix="0" xfId="0">
      <alignment horizontal="center" wrapText="1"/>
    </xf>
    <xf numFmtId="172" fontId="28" fillId="0" borderId="0" pivotButton="0" quotePrefix="0" xfId="0"/>
    <xf numFmtId="3" fontId="28" fillId="0" borderId="0" pivotButton="0" quotePrefix="0" xfId="0"/>
    <xf numFmtId="0" fontId="29" fillId="6" borderId="0" pivotButton="0" quotePrefix="0" xfId="0"/>
    <xf numFmtId="172" fontId="0" fillId="0" borderId="0" pivotButton="0" quotePrefix="0" xfId="0"/>
  </cellXfs>
  <cellStyles count="3">
    <cellStyle name="Normal" xfId="0" builtinId="0"/>
    <cellStyle name="Normal_FORM29" xfId="1"/>
    <cellStyle name="Millares 2" xfId="2"/>
  </cellStyles>
  <dxfs count="2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Memo</author>
  </authors>
  <commentList>
    <comment ref="L2" authorId="0" shapeId="0">
      <text>
        <t>Memo:
INGRESAR EN
L2    RAZON SOCIAL ó
L2    APELLIDO PATERNO
M2   APELLIDO MATERNO
N2   NOMBRES</t>
      </text>
    </comment>
  </commentList>
</comments>
</file>

<file path=xl/comments/comment2.xml><?xml version="1.0" encoding="utf-8"?>
<comments xmlns="http://schemas.openxmlformats.org/spreadsheetml/2006/main">
  <authors>
    <author>Memo</author>
  </authors>
  <commentList>
    <comment ref="O4" authorId="0" shapeId="0">
      <text>
        <t>Memo:
INGRESAR MANUALMENTE LA ULTIMA BOLETA DEL MES</t>
      </text>
    </comment>
    <comment ref="O5" authorId="0" shapeId="0">
      <text>
        <t>Memo:
INGRESAR MANUALMENTE LA PRIMERA BOLETA DE VENTAS DEL MES</t>
      </text>
    </comment>
    <comment ref="M19" authorId="0" shapeId="0">
      <text>
        <t>Memo:
DETERMINAR EL MARGEN DE GANANCIAS CON LAS QUE TRABAJA LA EMPRESA (20%; 25% O 30%</t>
      </text>
    </comment>
    <comment ref="F84" authorId="0" shapeId="0">
      <text>
        <t>Memo:
VERIFICACION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topLeftCell="F61" zoomScale="130" zoomScaleNormal="130" workbookViewId="0">
      <selection activeCell="F66" sqref="F66:I66"/>
    </sheetView>
  </sheetViews>
  <sheetFormatPr baseColWidth="10" defaultRowHeight="15"/>
  <cols>
    <col width="8.85546875" customWidth="1" min="1" max="1"/>
    <col width="13.85546875" customWidth="1" min="2" max="2"/>
    <col width="25.5703125" customWidth="1" min="3" max="3"/>
    <col width="13.140625" customWidth="1" min="4" max="4"/>
    <col width="14.42578125" customWidth="1" min="8" max="8"/>
    <col width="12.42578125" customWidth="1" min="9" max="9"/>
    <col width="11.85546875" bestFit="1" customWidth="1" min="10" max="10"/>
    <col width="14" customWidth="1" min="11" max="11"/>
  </cols>
  <sheetData>
    <row r="1">
      <c r="L1" t="inlineStr">
        <is>
          <t>RUT EMPRESA</t>
        </is>
      </c>
      <c r="M1" t="inlineStr">
        <is>
          <t>76.123.456-0</t>
        </is>
      </c>
      <c r="N1" s="47" t="n"/>
    </row>
    <row r="2" ht="18.75" customHeight="1">
      <c r="D2" s="105" t="inlineStr">
        <is>
          <t>LIBRO DE COMPRAS</t>
        </is>
      </c>
      <c r="H2" s="42" t="n"/>
      <c r="I2" s="50" t="n"/>
      <c r="L2" t="inlineStr">
        <is>
          <t>Silvestres del Ñuble SpA (ficticia)</t>
        </is>
      </c>
    </row>
    <row r="3">
      <c r="A3" t="inlineStr">
        <is>
          <t>MES: OCTUBRE 2026</t>
        </is>
      </c>
      <c r="H3" t="n">
        <v>10</v>
      </c>
    </row>
    <row r="5">
      <c r="A5" s="51" t="inlineStr">
        <is>
          <t>FECHA</t>
        </is>
      </c>
      <c r="B5" s="51" t="inlineStr">
        <is>
          <t xml:space="preserve">Nº DE </t>
        </is>
      </c>
      <c r="C5" s="51" t="inlineStr">
        <is>
          <t>NOMBRE DEL</t>
        </is>
      </c>
      <c r="D5" s="52" t="inlineStr">
        <is>
          <t>RUT</t>
        </is>
      </c>
      <c r="E5" s="52" t="inlineStr">
        <is>
          <t>EXENTO</t>
        </is>
      </c>
      <c r="F5" s="52" t="inlineStr">
        <is>
          <t>GASTOS</t>
        </is>
      </c>
      <c r="G5" s="52" t="inlineStr">
        <is>
          <t>ACTIVO</t>
        </is>
      </c>
      <c r="H5" s="52" t="inlineStr">
        <is>
          <t>NETO</t>
        </is>
      </c>
      <c r="I5" s="52" t="inlineStr">
        <is>
          <t>IVA</t>
        </is>
      </c>
      <c r="J5" s="52" t="inlineStr">
        <is>
          <t>TOTAL</t>
        </is>
      </c>
      <c r="K5" s="316" t="inlineStr">
        <is>
          <t>IVA RETENIDO TOTAL (cód. 31 silvestres)</t>
        </is>
      </c>
      <c r="L5" s="100" t="inlineStr">
        <is>
          <t>TOTAL FACTURAS MDS</t>
        </is>
      </c>
      <c r="M5" s="317" t="n"/>
      <c r="N5" s="6" t="n"/>
      <c r="O5" s="31">
        <f>H31</f>
        <v/>
      </c>
    </row>
    <row r="6">
      <c r="A6" s="53" t="n"/>
      <c r="B6" s="53" t="inlineStr">
        <is>
          <t>DOCUMENTO</t>
        </is>
      </c>
      <c r="C6" s="54" t="inlineStr">
        <is>
          <t>PROVEEDOR</t>
        </is>
      </c>
      <c r="D6" s="55" t="n"/>
      <c r="E6" s="55" t="n"/>
      <c r="F6" s="56" t="inlineStr">
        <is>
          <t>GENERALES</t>
        </is>
      </c>
      <c r="G6" s="54" t="inlineStr">
        <is>
          <t>FIJO</t>
        </is>
      </c>
      <c r="H6" s="55" t="n"/>
      <c r="I6" s="57" t="n"/>
      <c r="J6" s="55" t="n"/>
      <c r="L6" s="100" t="inlineStr">
        <is>
          <t>TOTAL FACTURAS GASTOS GENERALES</t>
        </is>
      </c>
      <c r="M6" s="317" t="n"/>
      <c r="N6" s="6" t="n"/>
      <c r="O6" s="31">
        <f>F31</f>
        <v/>
      </c>
    </row>
    <row r="7" ht="15.75" customHeight="1">
      <c r="A7" s="318" t="n">
        <v>46297</v>
      </c>
      <c r="B7" s="1" t="n">
        <v>201</v>
      </c>
      <c r="C7" s="1" t="inlineStr">
        <is>
          <t>Juan Pérez (recolector)</t>
        </is>
      </c>
      <c r="D7" s="1" t="inlineStr">
        <is>
          <t>11.111.111-1</t>
        </is>
      </c>
      <c r="E7" s="58" t="n"/>
      <c r="F7" s="59" t="n"/>
      <c r="G7" s="59" t="n"/>
      <c r="H7" s="59">
        <f>'Facturas de compra'!H5</f>
        <v/>
      </c>
      <c r="I7" s="59">
        <f>'Facturas de compra'!I5</f>
        <v/>
      </c>
      <c r="J7" s="60">
        <f>H7+I7</f>
        <v/>
      </c>
      <c r="K7" s="60">
        <f>'Facturas de compra'!J5</f>
        <v/>
      </c>
      <c r="L7" s="101" t="inlineStr">
        <is>
          <t>TOTAL FACTURAS ACTIVO FIJO</t>
        </is>
      </c>
      <c r="M7" s="317" t="n"/>
      <c r="N7" s="6" t="n"/>
      <c r="O7" s="31">
        <f>G31</f>
        <v/>
      </c>
    </row>
    <row r="8" ht="15.75" customHeight="1">
      <c r="A8" s="318" t="n">
        <v>46301</v>
      </c>
      <c r="B8" s="1" t="n">
        <v>202</v>
      </c>
      <c r="C8" s="1" t="inlineStr">
        <is>
          <t>María Soto (recolectora)</t>
        </is>
      </c>
      <c r="D8" s="1" t="inlineStr">
        <is>
          <t>12.222.222-5</t>
        </is>
      </c>
      <c r="E8" s="58" t="n"/>
      <c r="F8" s="59" t="n"/>
      <c r="G8" s="59" t="n"/>
      <c r="H8" s="59">
        <f>'Facturas de compra'!H6</f>
        <v/>
      </c>
      <c r="I8" s="59">
        <f>'Facturas de compra'!I6</f>
        <v/>
      </c>
      <c r="J8" s="60">
        <f>H8+I8</f>
        <v/>
      </c>
      <c r="K8" s="60">
        <f>'Facturas de compra'!J6</f>
        <v/>
      </c>
    </row>
    <row r="9" ht="15.75" customHeight="1">
      <c r="A9" s="318" t="n">
        <v>46307</v>
      </c>
      <c r="B9" s="1" t="n">
        <v>203</v>
      </c>
      <c r="C9" s="1" t="inlineStr">
        <is>
          <t>Pedro Núñez (recolector)</t>
        </is>
      </c>
      <c r="D9" s="1" t="inlineStr">
        <is>
          <t>13.333.333-9</t>
        </is>
      </c>
      <c r="E9" s="58" t="n"/>
      <c r="F9" s="59" t="n"/>
      <c r="G9" s="59" t="n"/>
      <c r="H9" s="59">
        <f>'Facturas de compra'!H7</f>
        <v/>
      </c>
      <c r="I9" s="59">
        <f>'Facturas de compra'!I7</f>
        <v/>
      </c>
      <c r="J9" s="60">
        <f>H9+I9</f>
        <v/>
      </c>
      <c r="K9" s="60">
        <f>'Facturas de compra'!J7</f>
        <v/>
      </c>
      <c r="L9" s="319" t="inlineStr">
        <is>
          <t>ASIENTO CONTABLE POR LAS COMPRAS</t>
        </is>
      </c>
      <c r="M9" s="317" t="n"/>
      <c r="N9" s="317" t="n"/>
      <c r="O9" s="6" t="n"/>
    </row>
    <row r="10" ht="15.75" customHeight="1">
      <c r="A10" s="318" t="n">
        <v>46314</v>
      </c>
      <c r="B10" s="1" t="n">
        <v>204</v>
      </c>
      <c r="C10" s="1" t="inlineStr">
        <is>
          <t>Rosa Muñoz (recolectora)</t>
        </is>
      </c>
      <c r="D10" s="1" t="inlineStr">
        <is>
          <t>14.444.444-2</t>
        </is>
      </c>
      <c r="E10" s="58" t="n"/>
      <c r="F10" s="59" t="n"/>
      <c r="G10" s="59" t="n"/>
      <c r="H10" s="59">
        <f>'Facturas de compra'!H8</f>
        <v/>
      </c>
      <c r="I10" s="61">
        <f>'Facturas de compra'!I8</f>
        <v/>
      </c>
      <c r="J10" s="60">
        <f>H10+I10</f>
        <v/>
      </c>
      <c r="K10" s="60">
        <f>'Facturas de compra'!J8</f>
        <v/>
      </c>
    </row>
    <row r="11" ht="15.75" customHeight="1">
      <c r="A11" s="318" t="n">
        <v>46321</v>
      </c>
      <c r="B11" s="1" t="n">
        <v>205</v>
      </c>
      <c r="C11" s="1" t="inlineStr">
        <is>
          <t>Luis Araya (recolector)</t>
        </is>
      </c>
      <c r="D11" s="1" t="inlineStr">
        <is>
          <t>15.555.555-6</t>
        </is>
      </c>
      <c r="E11" s="58" t="n"/>
      <c r="F11" s="59" t="n"/>
      <c r="G11" s="59" t="n"/>
      <c r="H11" s="59">
        <f>'Facturas de compra'!H9</f>
        <v/>
      </c>
      <c r="I11" s="59">
        <f>'Facturas de compra'!I9</f>
        <v/>
      </c>
      <c r="J11" s="60">
        <f>H11+I11</f>
        <v/>
      </c>
      <c r="K11" s="60">
        <f>'Facturas de compra'!J9</f>
        <v/>
      </c>
      <c r="L11" s="5" t="inlineStr">
        <is>
          <t>MERCADERIAS</t>
        </is>
      </c>
      <c r="M11" s="6" t="n"/>
      <c r="N11" s="31">
        <f>O5</f>
        <v/>
      </c>
      <c r="O11" s="1" t="n"/>
    </row>
    <row r="12" ht="15.75" customHeight="1">
      <c r="A12" s="1" t="n"/>
      <c r="B12" s="1" t="n"/>
      <c r="C12" s="1" t="n"/>
      <c r="D12" s="1" t="n"/>
      <c r="E12" s="58" t="n"/>
      <c r="F12" s="59" t="n"/>
      <c r="G12" s="59" t="n"/>
      <c r="H12" s="59" t="n"/>
      <c r="I12" s="59" t="n"/>
      <c r="J12" s="60" t="n"/>
      <c r="L12" s="5" t="inlineStr">
        <is>
          <t>MERCADERIAS EXENTAS</t>
        </is>
      </c>
      <c r="M12" s="6" t="n"/>
      <c r="N12" s="31">
        <f>E31</f>
        <v/>
      </c>
      <c r="O12" s="1" t="n"/>
    </row>
    <row r="13" ht="15.75" customHeight="1">
      <c r="A13" s="1" t="n"/>
      <c r="B13" s="1" t="n"/>
      <c r="C13" s="1" t="n"/>
      <c r="D13" s="1" t="n"/>
      <c r="E13" s="58" t="n"/>
      <c r="F13" s="59" t="n"/>
      <c r="G13" s="59" t="n"/>
      <c r="H13" s="59" t="n"/>
      <c r="I13" s="59" t="n"/>
      <c r="J13" s="60" t="n"/>
      <c r="L13" s="5" t="inlineStr">
        <is>
          <t>GASTOS GENERALES</t>
        </is>
      </c>
      <c r="M13" s="6" t="n"/>
      <c r="N13" s="31">
        <f>O6</f>
        <v/>
      </c>
      <c r="O13" s="1" t="n"/>
    </row>
    <row r="14" ht="15.75" customHeight="1">
      <c r="A14" s="1" t="n"/>
      <c r="B14" s="1" t="n"/>
      <c r="C14" s="1" t="n"/>
      <c r="D14" s="1" t="n"/>
      <c r="E14" s="58" t="n"/>
      <c r="F14" s="59" t="n"/>
      <c r="G14" s="59" t="n"/>
      <c r="H14" s="59" t="n"/>
      <c r="I14" s="59" t="n"/>
      <c r="J14" s="60" t="n"/>
      <c r="L14" s="5" t="inlineStr">
        <is>
          <t>ACTIVO FIJO</t>
        </is>
      </c>
      <c r="M14" s="6" t="n"/>
      <c r="N14" s="31">
        <f>O7</f>
        <v/>
      </c>
      <c r="O14" s="1" t="n"/>
    </row>
    <row r="15" ht="15.75" customHeight="1">
      <c r="A15" s="1" t="n"/>
      <c r="B15" s="1" t="n"/>
      <c r="C15" s="1" t="n"/>
      <c r="D15" s="1" t="n"/>
      <c r="E15" s="58" t="n"/>
      <c r="F15" s="59" t="n"/>
      <c r="G15" s="59" t="n"/>
      <c r="H15" s="59" t="n"/>
      <c r="I15" s="59" t="n"/>
      <c r="J15" s="60" t="n"/>
      <c r="L15" s="5" t="inlineStr">
        <is>
          <t>CREDITO FISCAL</t>
        </is>
      </c>
      <c r="M15" s="6" t="n"/>
      <c r="N15" s="31">
        <f>I31</f>
        <v/>
      </c>
      <c r="O15" s="1" t="n"/>
    </row>
    <row r="16" ht="15.75" customHeight="1">
      <c r="A16" s="1" t="n"/>
      <c r="B16" s="1" t="n"/>
      <c r="C16" s="1" t="n"/>
      <c r="D16" s="1" t="n"/>
      <c r="E16" s="58" t="n"/>
      <c r="F16" s="59" t="n"/>
      <c r="G16" s="59" t="n"/>
      <c r="H16" s="59" t="n"/>
      <c r="I16" s="59" t="n"/>
      <c r="J16" s="60" t="n"/>
      <c r="L16" s="5" t="n"/>
      <c r="M16" s="6" t="inlineStr">
        <is>
          <t>PROVEEDORES</t>
        </is>
      </c>
      <c r="N16" s="1" t="n"/>
      <c r="O16" s="31">
        <f>J31-K31</f>
        <v/>
      </c>
    </row>
    <row r="17" ht="15.75" customHeight="1">
      <c r="A17" s="1" t="n"/>
      <c r="B17" s="1" t="n"/>
      <c r="C17" s="1" t="n"/>
      <c r="D17" s="1" t="n"/>
      <c r="E17" s="58" t="n"/>
      <c r="F17" s="59" t="n"/>
      <c r="G17" s="59" t="n"/>
      <c r="H17" s="59" t="n"/>
      <c r="I17" s="59" t="n"/>
      <c r="J17" s="60" t="n"/>
      <c r="L17" s="5" t="n"/>
      <c r="M17" s="6" t="inlineStr">
        <is>
          <t>IVA RETENIDO POR PAGAR</t>
        </is>
      </c>
      <c r="N17" s="1" t="n"/>
      <c r="O17" s="31">
        <f>K31</f>
        <v/>
      </c>
    </row>
    <row r="18" ht="15.75" customHeight="1">
      <c r="A18" s="1" t="n"/>
      <c r="B18" s="1" t="n"/>
      <c r="C18" s="1" t="n"/>
      <c r="D18" s="1" t="n"/>
      <c r="E18" s="58" t="n"/>
      <c r="F18" s="59" t="n"/>
      <c r="G18" s="59" t="n"/>
      <c r="H18" s="59" t="n"/>
      <c r="I18" s="59" t="n"/>
      <c r="J18" s="60" t="n"/>
      <c r="L18" t="inlineStr">
        <is>
          <t>Por las compras del mes</t>
        </is>
      </c>
    </row>
    <row r="19" ht="15.75" customHeight="1">
      <c r="A19" s="1" t="n"/>
      <c r="B19" s="1" t="n"/>
      <c r="C19" s="1" t="n"/>
      <c r="D19" s="1" t="n"/>
      <c r="E19" s="58" t="n"/>
      <c r="F19" s="59" t="n"/>
      <c r="G19" s="59" t="n"/>
      <c r="H19" s="59" t="n"/>
      <c r="I19" s="59" t="n"/>
      <c r="J19" s="60" t="n"/>
      <c r="L19" s="5" t="inlineStr">
        <is>
          <t>Verificación proceso</t>
        </is>
      </c>
      <c r="M19" s="6" t="inlineStr">
        <is>
          <t>Verificación (debe = haber)</t>
        </is>
      </c>
      <c r="N19" s="31">
        <f>SUM(N11:N15)</f>
        <v/>
      </c>
      <c r="O19" s="31">
        <f>SUM(O16:O17)</f>
        <v/>
      </c>
    </row>
    <row r="20" ht="15.75" customHeight="1">
      <c r="A20" s="1" t="n"/>
      <c r="B20" s="1" t="n"/>
      <c r="C20" s="1" t="n"/>
      <c r="D20" s="1" t="n"/>
      <c r="E20" s="58" t="n"/>
      <c r="F20" s="59" t="n"/>
      <c r="G20" s="59" t="n"/>
      <c r="H20" s="59" t="n"/>
      <c r="I20" s="59" t="n"/>
      <c r="J20" s="60" t="n"/>
    </row>
    <row r="21" ht="15.75" customHeight="1">
      <c r="A21" s="1" t="n"/>
      <c r="B21" s="1" t="n"/>
      <c r="C21" s="1" t="n"/>
      <c r="D21" s="1" t="n"/>
      <c r="E21" s="58" t="n"/>
      <c r="F21" s="59" t="n"/>
      <c r="G21" s="59" t="n"/>
      <c r="H21" s="59" t="n"/>
      <c r="I21" s="59" t="n"/>
      <c r="J21" s="60" t="n"/>
    </row>
    <row r="22" ht="15.75" customHeight="1">
      <c r="A22" s="1" t="n"/>
      <c r="B22" s="1" t="n"/>
      <c r="C22" s="1" t="n"/>
      <c r="D22" s="1" t="n"/>
      <c r="E22" s="58" t="n"/>
      <c r="F22" s="59" t="n"/>
      <c r="G22" s="59" t="n"/>
      <c r="H22" s="59" t="n"/>
      <c r="I22" s="59" t="n"/>
      <c r="J22" s="60" t="n"/>
    </row>
    <row r="23" ht="15.75" customHeight="1">
      <c r="A23" s="1" t="n"/>
      <c r="B23" s="1" t="n"/>
      <c r="C23" s="1" t="n"/>
      <c r="D23" s="1" t="n"/>
      <c r="E23" s="58" t="n"/>
      <c r="F23" s="59" t="n"/>
      <c r="G23" s="59" t="n"/>
      <c r="H23" s="59" t="n"/>
      <c r="I23" s="59" t="n"/>
      <c r="J23" s="60" t="n"/>
    </row>
    <row r="24" ht="15.75" customHeight="1">
      <c r="A24" s="1" t="n"/>
      <c r="B24" s="1" t="n"/>
      <c r="C24" s="1" t="n"/>
      <c r="D24" s="1" t="n"/>
      <c r="E24" s="58" t="n"/>
      <c r="F24" s="59" t="n"/>
      <c r="G24" s="59" t="n"/>
      <c r="H24" s="59" t="n"/>
      <c r="I24" s="59" t="n"/>
      <c r="J24" s="60" t="n"/>
    </row>
    <row r="25" ht="15.75" customHeight="1">
      <c r="A25" s="1" t="n"/>
      <c r="B25" s="1" t="n"/>
      <c r="C25" s="1" t="n"/>
      <c r="D25" s="1" t="n"/>
      <c r="E25" s="58" t="n"/>
      <c r="F25" s="59" t="n"/>
      <c r="G25" s="59" t="n"/>
      <c r="H25" s="59" t="n"/>
      <c r="I25" s="59" t="n"/>
      <c r="J25" s="60" t="n"/>
    </row>
    <row r="26" ht="15.75" customHeight="1">
      <c r="A26" s="1" t="n"/>
      <c r="B26" s="1" t="n"/>
      <c r="C26" s="1" t="n"/>
      <c r="D26" s="1" t="n"/>
      <c r="E26" s="58" t="n"/>
      <c r="F26" s="59" t="n"/>
      <c r="G26" s="59" t="n"/>
      <c r="H26" s="59" t="n"/>
      <c r="I26" s="59" t="n"/>
      <c r="J26" s="60" t="n"/>
    </row>
    <row r="27" ht="15.75" customHeight="1">
      <c r="A27" s="1" t="n"/>
      <c r="B27" s="1" t="n"/>
      <c r="C27" s="1" t="n"/>
      <c r="D27" s="1" t="n"/>
      <c r="E27" s="58" t="n"/>
      <c r="F27" s="59" t="n"/>
      <c r="G27" s="59" t="n"/>
      <c r="H27" s="59" t="n"/>
      <c r="I27" s="59" t="n"/>
      <c r="J27" s="60" t="n"/>
    </row>
    <row r="28" ht="15.75" customHeight="1">
      <c r="A28" s="1" t="n"/>
      <c r="B28" s="1" t="n"/>
      <c r="C28" s="1" t="n"/>
      <c r="D28" s="1" t="n"/>
      <c r="E28" s="58" t="n"/>
      <c r="F28" s="59" t="n"/>
      <c r="G28" s="59" t="n"/>
      <c r="H28" s="59" t="n"/>
      <c r="I28" s="59" t="n"/>
      <c r="J28" s="60" t="n"/>
    </row>
    <row r="29" ht="15.75" customHeight="1">
      <c r="A29" s="1" t="n"/>
      <c r="B29" s="1" t="n"/>
      <c r="C29" s="1" t="n"/>
      <c r="D29" s="1" t="n"/>
      <c r="E29" s="58" t="n"/>
      <c r="F29" s="59" t="n"/>
      <c r="G29" s="59" t="n"/>
      <c r="H29" s="59" t="n"/>
      <c r="I29" s="59" t="n"/>
      <c r="J29" s="60" t="n"/>
    </row>
    <row r="30" ht="15.75" customHeight="1">
      <c r="A30" s="1" t="n"/>
      <c r="B30" s="1" t="n"/>
      <c r="C30" s="1" t="n"/>
      <c r="D30" s="1" t="n"/>
      <c r="E30" s="58" t="n"/>
      <c r="F30" s="59" t="n"/>
      <c r="G30" s="59" t="n"/>
      <c r="H30" s="59" t="n"/>
      <c r="I30" s="59" t="n"/>
      <c r="J30" s="60" t="n"/>
    </row>
    <row r="31" ht="18.75" customHeight="1">
      <c r="C31" s="96" t="inlineStr">
        <is>
          <t>SUMAS</t>
        </is>
      </c>
      <c r="D31" s="82" t="n"/>
      <c r="E31" s="62">
        <f>SUM(E7:E30)</f>
        <v/>
      </c>
      <c r="F31" s="62">
        <f>SUM(F7:F30)</f>
        <v/>
      </c>
      <c r="G31" s="62">
        <f>SUM(G7:G30)</f>
        <v/>
      </c>
      <c r="H31" s="62">
        <f>SUM(H7:H30)</f>
        <v/>
      </c>
      <c r="I31" s="62">
        <f>SUM(I7:I30)</f>
        <v/>
      </c>
      <c r="J31" s="62">
        <f>SUM(J7:J30)</f>
        <v/>
      </c>
      <c r="K31" s="62">
        <f>SUM(K7:K30)</f>
        <v/>
      </c>
    </row>
    <row r="32">
      <c r="C32" s="4" t="n"/>
      <c r="D32" s="4" t="n"/>
      <c r="E32" s="49" t="n"/>
      <c r="F32" s="49" t="n"/>
      <c r="G32" s="49" t="n"/>
      <c r="H32" s="49" t="n"/>
      <c r="I32" s="49" t="n"/>
      <c r="J32" s="49" t="n"/>
    </row>
    <row r="34" ht="18.75" customHeight="1">
      <c r="A34" s="50" t="inlineStr">
        <is>
          <t>( + ) NOTAS DE DEBITO</t>
        </is>
      </c>
    </row>
    <row r="35" ht="15.75" customHeight="1">
      <c r="A35" s="33" t="n"/>
      <c r="B35" s="1" t="n"/>
      <c r="C35" s="1" t="n"/>
      <c r="D35" s="1" t="n"/>
      <c r="E35" s="58" t="n"/>
      <c r="F35" s="59" t="n"/>
      <c r="G35" s="59" t="n"/>
      <c r="H35" s="59" t="n"/>
      <c r="I35" s="59" t="n"/>
      <c r="J35" s="59" t="n"/>
    </row>
    <row r="36" ht="15.75" customHeight="1">
      <c r="A36" s="1" t="n"/>
      <c r="B36" s="1" t="n"/>
      <c r="C36" s="1" t="n"/>
      <c r="D36" s="1" t="n"/>
      <c r="E36" s="58" t="n"/>
      <c r="F36" s="59" t="n"/>
      <c r="G36" s="59" t="n"/>
      <c r="H36" s="59" t="n"/>
      <c r="I36" s="59" t="n"/>
      <c r="J36" s="59" t="n"/>
    </row>
    <row r="37" ht="15.75" customHeight="1">
      <c r="A37" s="1" t="n"/>
      <c r="B37" s="1" t="n"/>
      <c r="C37" s="1" t="n"/>
      <c r="D37" s="1" t="n"/>
      <c r="E37" s="58" t="n"/>
      <c r="F37" s="59" t="n"/>
      <c r="G37" s="59" t="n"/>
      <c r="H37" s="59" t="n"/>
      <c r="I37" s="59" t="n"/>
      <c r="J37" s="59" t="n"/>
    </row>
    <row r="38" ht="15.75" customHeight="1">
      <c r="A38" s="1" t="n"/>
      <c r="B38" s="1" t="n"/>
      <c r="C38" s="1" t="n"/>
      <c r="D38" s="1" t="n"/>
      <c r="E38" s="58" t="n"/>
      <c r="F38" s="59" t="n"/>
      <c r="G38" s="59" t="n"/>
      <c r="H38" s="59" t="n"/>
      <c r="I38" s="59" t="n"/>
      <c r="J38" s="59" t="n"/>
    </row>
    <row r="39" ht="15.75" customHeight="1">
      <c r="A39" s="1" t="n"/>
      <c r="B39" s="1" t="n"/>
      <c r="C39" s="1" t="n"/>
      <c r="D39" s="1" t="n"/>
      <c r="E39" s="58" t="n"/>
      <c r="F39" s="59" t="n"/>
      <c r="G39" s="59" t="n"/>
      <c r="H39" s="59" t="n"/>
      <c r="I39" s="59" t="n"/>
      <c r="J39" s="59" t="n"/>
    </row>
    <row r="40" ht="15.75" customHeight="1">
      <c r="A40" s="1" t="n"/>
      <c r="B40" s="1" t="n"/>
      <c r="C40" s="1" t="n"/>
      <c r="D40" s="1" t="n"/>
      <c r="E40" s="58" t="n"/>
      <c r="F40" s="59" t="n"/>
      <c r="G40" s="59" t="n"/>
      <c r="H40" s="59" t="n"/>
      <c r="I40" s="59" t="n"/>
      <c r="J40" s="59" t="n"/>
    </row>
    <row r="41" ht="15.75" customHeight="1">
      <c r="A41" s="1" t="n"/>
      <c r="B41" s="1" t="n"/>
      <c r="C41" s="1" t="n"/>
      <c r="D41" s="1" t="n"/>
      <c r="E41" s="58" t="n"/>
      <c r="F41" s="59" t="n"/>
      <c r="G41" s="59" t="n"/>
      <c r="H41" s="59" t="n"/>
      <c r="I41" s="59" t="n"/>
      <c r="J41" s="59" t="n"/>
    </row>
    <row r="42" ht="15.75" customHeight="1">
      <c r="A42" s="1" t="n"/>
      <c r="B42" s="1" t="n"/>
      <c r="C42" s="1" t="n"/>
      <c r="D42" s="1" t="n"/>
      <c r="E42" s="58" t="n"/>
      <c r="F42" s="59" t="n"/>
      <c r="G42" s="59" t="n"/>
      <c r="H42" s="59" t="n"/>
      <c r="I42" s="59" t="n"/>
      <c r="J42" s="59" t="n"/>
    </row>
    <row r="43" ht="15.75" customHeight="1">
      <c r="A43" s="1" t="n"/>
      <c r="B43" s="1" t="n"/>
      <c r="C43" s="1" t="n"/>
      <c r="D43" s="1" t="n"/>
      <c r="E43" s="58" t="n"/>
      <c r="F43" s="59" t="n"/>
      <c r="G43" s="59" t="n"/>
      <c r="H43" s="59" t="n"/>
      <c r="I43" s="59" t="n"/>
      <c r="J43" s="59" t="n"/>
    </row>
    <row r="44" ht="15.75" customHeight="1">
      <c r="A44" s="1" t="n"/>
      <c r="B44" s="1" t="n"/>
      <c r="C44" s="1" t="n"/>
      <c r="D44" s="1" t="n"/>
      <c r="E44" s="58" t="n"/>
      <c r="F44" s="59" t="n"/>
      <c r="G44" s="59" t="n"/>
      <c r="H44" s="59" t="n"/>
      <c r="I44" s="59" t="n"/>
      <c r="J44" s="59" t="n"/>
    </row>
    <row r="45" ht="15.75" customHeight="1">
      <c r="A45" s="1" t="n"/>
      <c r="B45" s="1" t="n"/>
      <c r="C45" s="1" t="n"/>
      <c r="D45" s="1" t="n"/>
      <c r="E45" s="58" t="n"/>
      <c r="F45" s="59" t="n"/>
      <c r="G45" s="59" t="n"/>
      <c r="H45" s="59" t="n"/>
      <c r="I45" s="59" t="n"/>
      <c r="J45" s="59" t="n"/>
    </row>
    <row r="46" ht="15.75" customHeight="1">
      <c r="A46" s="1" t="n"/>
      <c r="B46" s="1" t="n"/>
      <c r="C46" s="1" t="n"/>
      <c r="D46" s="1" t="n"/>
      <c r="E46" s="58" t="n"/>
      <c r="F46" s="59" t="n"/>
      <c r="G46" s="59" t="n"/>
      <c r="H46" s="59" t="n"/>
      <c r="I46" s="59" t="n"/>
      <c r="J46" s="59" t="n"/>
    </row>
    <row r="47" ht="18.75" customHeight="1">
      <c r="C47" s="95" t="inlineStr">
        <is>
          <t>SUMAS</t>
        </is>
      </c>
      <c r="D47" s="7" t="n"/>
      <c r="E47" s="59" t="n"/>
      <c r="F47" s="59" t="n"/>
      <c r="G47" s="59" t="n"/>
      <c r="H47" s="59" t="n"/>
      <c r="I47" s="59" t="n"/>
      <c r="J47" s="59" t="n"/>
    </row>
    <row r="48">
      <c r="C48" s="4" t="n"/>
      <c r="D48" s="4" t="n"/>
      <c r="E48" s="47" t="n"/>
      <c r="F48" s="47" t="n"/>
      <c r="G48" s="47" t="n"/>
      <c r="H48" s="47" t="n"/>
      <c r="I48" s="47" t="n"/>
      <c r="J48" s="47" t="n"/>
    </row>
    <row r="50" ht="18.75" customHeight="1">
      <c r="A50" s="50" t="inlineStr">
        <is>
          <t>( - ) NOTAS DE CREDITO</t>
        </is>
      </c>
    </row>
    <row r="51" ht="15.75" customHeight="1">
      <c r="A51" s="33" t="n"/>
      <c r="B51" s="1" t="n"/>
      <c r="C51" s="1" t="n"/>
      <c r="D51" s="1" t="n"/>
      <c r="E51" s="58" t="n"/>
      <c r="F51" s="59" t="n"/>
      <c r="G51" s="59" t="n"/>
      <c r="H51" s="59" t="n"/>
      <c r="I51" s="59" t="n"/>
      <c r="J51" s="59" t="n"/>
    </row>
    <row r="52" ht="15.75" customHeight="1">
      <c r="A52" s="1" t="n"/>
      <c r="B52" s="1" t="n"/>
      <c r="C52" s="1" t="n"/>
      <c r="D52" s="1" t="n"/>
      <c r="E52" s="58" t="n"/>
      <c r="F52" s="59" t="n"/>
      <c r="G52" s="59" t="n"/>
      <c r="H52" s="59" t="n"/>
      <c r="I52" s="59" t="n"/>
      <c r="J52" s="59" t="n"/>
    </row>
    <row r="53" ht="15.75" customHeight="1">
      <c r="A53" s="1" t="n"/>
      <c r="B53" s="1" t="n"/>
      <c r="C53" s="1" t="n"/>
      <c r="D53" s="1" t="n"/>
      <c r="E53" s="58" t="n"/>
      <c r="F53" s="59" t="n"/>
      <c r="G53" s="59" t="n"/>
      <c r="H53" s="59" t="n"/>
      <c r="I53" s="59" t="n"/>
      <c r="J53" s="59" t="n"/>
    </row>
    <row r="54" ht="15.75" customHeight="1">
      <c r="A54" s="1" t="n"/>
      <c r="B54" s="1" t="n"/>
      <c r="C54" s="1" t="n"/>
      <c r="D54" s="1" t="n"/>
      <c r="E54" s="58" t="n"/>
      <c r="F54" s="59" t="n"/>
      <c r="G54" s="59" t="n"/>
      <c r="H54" s="59" t="n"/>
      <c r="I54" s="59" t="n"/>
      <c r="J54" s="59" t="n"/>
    </row>
    <row r="55" ht="15.75" customHeight="1">
      <c r="A55" s="1" t="n"/>
      <c r="B55" s="1" t="n"/>
      <c r="C55" s="1" t="n"/>
      <c r="D55" s="1" t="n"/>
      <c r="E55" s="58" t="n"/>
      <c r="F55" s="59" t="n"/>
      <c r="G55" s="59" t="n"/>
      <c r="H55" s="59" t="n"/>
      <c r="I55" s="59" t="n"/>
      <c r="J55" s="59" t="n"/>
    </row>
    <row r="56" ht="15.75" customHeight="1">
      <c r="A56" s="1" t="n"/>
      <c r="B56" s="1" t="n"/>
      <c r="C56" s="1" t="n"/>
      <c r="D56" s="1" t="n"/>
      <c r="E56" s="58" t="n"/>
      <c r="F56" s="59" t="n"/>
      <c r="G56" s="59" t="n"/>
      <c r="H56" s="59" t="n"/>
      <c r="I56" s="59" t="n"/>
      <c r="J56" s="59" t="n"/>
    </row>
    <row r="57" ht="15.75" customHeight="1">
      <c r="A57" s="1" t="n"/>
      <c r="B57" s="1" t="n"/>
      <c r="C57" s="1" t="n"/>
      <c r="D57" s="1" t="n"/>
      <c r="E57" s="58" t="n"/>
      <c r="F57" s="59" t="n"/>
      <c r="G57" s="59" t="n"/>
      <c r="H57" s="59" t="n"/>
      <c r="I57" s="59" t="n"/>
      <c r="J57" s="59" t="n"/>
    </row>
    <row r="58" ht="15.75" customHeight="1">
      <c r="A58" s="1" t="n"/>
      <c r="B58" s="1" t="n"/>
      <c r="C58" s="1" t="n"/>
      <c r="D58" s="1" t="n"/>
      <c r="E58" s="58" t="n"/>
      <c r="F58" s="59" t="n"/>
      <c r="G58" s="59" t="n"/>
      <c r="H58" s="59" t="n"/>
      <c r="I58" s="59" t="n"/>
      <c r="J58" s="59" t="n"/>
    </row>
    <row r="59" ht="15.75" customHeight="1">
      <c r="A59" s="1" t="n"/>
      <c r="B59" s="1" t="n"/>
      <c r="C59" s="1" t="n"/>
      <c r="D59" s="1" t="n"/>
      <c r="E59" s="58" t="n"/>
      <c r="F59" s="59" t="n"/>
      <c r="G59" s="59" t="n"/>
      <c r="H59" s="59" t="n"/>
      <c r="I59" s="59" t="n"/>
      <c r="J59" s="59" t="n"/>
    </row>
    <row r="60" ht="15.75" customHeight="1">
      <c r="A60" s="1" t="n"/>
      <c r="B60" s="1" t="n"/>
      <c r="C60" s="1" t="n"/>
      <c r="D60" s="1" t="n"/>
      <c r="E60" s="58" t="n"/>
      <c r="F60" s="59" t="n"/>
      <c r="G60" s="59" t="n"/>
      <c r="H60" s="59" t="n"/>
      <c r="I60" s="59" t="n"/>
      <c r="J60" s="59" t="n"/>
    </row>
    <row r="61" ht="15.75" customHeight="1">
      <c r="A61" s="1" t="n"/>
      <c r="B61" s="1" t="n"/>
      <c r="C61" s="1" t="n"/>
      <c r="D61" s="1" t="n"/>
      <c r="E61" s="58" t="n"/>
      <c r="F61" s="59" t="n"/>
      <c r="G61" s="59" t="n"/>
      <c r="H61" s="59" t="n"/>
      <c r="I61" s="59" t="n"/>
      <c r="J61" s="59" t="n"/>
    </row>
    <row r="62" ht="18.75" customHeight="1">
      <c r="C62" s="95" t="inlineStr">
        <is>
          <t xml:space="preserve">SUMAS </t>
        </is>
      </c>
      <c r="D62" s="7" t="n"/>
      <c r="E62" s="59" t="n"/>
      <c r="F62" s="59" t="n"/>
      <c r="G62" s="59" t="n"/>
      <c r="H62" s="59" t="n"/>
      <c r="I62" s="59" t="n"/>
      <c r="J62" s="59" t="n"/>
    </row>
    <row r="63" ht="15.75" customHeight="1">
      <c r="E63" s="63" t="n"/>
      <c r="F63" s="63" t="n"/>
      <c r="G63" s="63" t="n"/>
      <c r="H63" s="63" t="n"/>
      <c r="I63" s="63" t="n"/>
      <c r="J63" s="63" t="n"/>
    </row>
    <row r="64" ht="18.75" customHeight="1">
      <c r="C64" s="97" t="inlineStr">
        <is>
          <t>TOTAL COMPRAS AFECTAS</t>
        </is>
      </c>
      <c r="E64" s="59" t="n"/>
      <c r="F64" s="59" t="n"/>
      <c r="G64" s="59" t="n"/>
      <c r="H64" s="59">
        <f>H31+H47-H62</f>
        <v/>
      </c>
      <c r="I64" s="61">
        <f>I31+I47-I62</f>
        <v/>
      </c>
      <c r="J64" s="59" t="n"/>
    </row>
    <row r="66">
      <c r="A66" t="inlineStr">
        <is>
          <t>Las facturas de compra (DTE 46) las emite el comprador; su IVA es crédito fiscal (Res. 4095, N° 6) y el IVA retenido se paga en el F29 (reverso, código 39). Código 31 = IVA retenido silvestres (se informa como retención total).</t>
        </is>
      </c>
      <c r="F66" s="98" t="n"/>
    </row>
  </sheetData>
  <mergeCells count="10">
    <mergeCell ref="D2:F2"/>
    <mergeCell ref="L6:N6"/>
    <mergeCell ref="C47:D47"/>
    <mergeCell ref="C62:D62"/>
    <mergeCell ref="L9:O9"/>
    <mergeCell ref="L5:N5"/>
    <mergeCell ref="F66:I66"/>
    <mergeCell ref="C31:D31"/>
    <mergeCell ref="C64:D64"/>
    <mergeCell ref="L7:N7"/>
  </mergeCells>
  <pageMargins left="0.3149606299212598" right="0.3149606299212598" top="0.5511811023622047" bottom="0.5511811023622047" header="0.3149606299212598" footer="0.3149606299212598"/>
  <pageSetup orientation="landscape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94"/>
  <sheetViews>
    <sheetView topLeftCell="A58" zoomScale="110" zoomScaleNormal="110" workbookViewId="0">
      <selection activeCell="A75" sqref="A75"/>
    </sheetView>
  </sheetViews>
  <sheetFormatPr baseColWidth="10" defaultRowHeight="15"/>
  <cols>
    <col width="6.28515625" customWidth="1" min="1" max="1"/>
    <col width="8.85546875" customWidth="1" min="2" max="2"/>
    <col width="22.85546875" customWidth="1" min="3" max="3"/>
    <col width="15.42578125" customWidth="1" min="4" max="4"/>
    <col width="20.5703125" customWidth="1" min="6" max="6"/>
    <col width="15.7109375" customWidth="1" min="8" max="8"/>
  </cols>
  <sheetData>
    <row r="1" ht="3" customHeight="1"/>
    <row r="2" ht="18.75" customHeight="1">
      <c r="B2" t="inlineStr">
        <is>
          <t>Silvestres del Ñuble SpA (ficticia)</t>
        </is>
      </c>
      <c r="E2" s="138" t="inlineStr">
        <is>
          <t>LIBRO VENTAS</t>
        </is>
      </c>
    </row>
    <row r="3">
      <c r="B3" t="inlineStr">
        <is>
          <t xml:space="preserve">AÑO: </t>
        </is>
      </c>
      <c r="C3" t="inlineStr">
        <is>
          <t>2026</t>
        </is>
      </c>
      <c r="E3" s="99" t="n"/>
      <c r="F3" s="99" t="n"/>
    </row>
    <row r="4">
      <c r="B4" s="51" t="inlineStr">
        <is>
          <t>FECHA</t>
        </is>
      </c>
      <c r="C4" s="51" t="inlineStr">
        <is>
          <t>FACTURA Nº</t>
        </is>
      </c>
      <c r="D4" s="51" t="inlineStr">
        <is>
          <t>VENTAS CON</t>
        </is>
      </c>
      <c r="E4" s="51" t="inlineStr">
        <is>
          <t>VENTAS</t>
        </is>
      </c>
      <c r="F4" s="51" t="inlineStr">
        <is>
          <t>CLIENTE</t>
        </is>
      </c>
      <c r="G4" s="51" t="inlineStr">
        <is>
          <t>RUT</t>
        </is>
      </c>
      <c r="H4" s="51" t="inlineStr">
        <is>
          <t>NETO</t>
        </is>
      </c>
      <c r="I4" s="51" t="inlineStr">
        <is>
          <t>IVA</t>
        </is>
      </c>
      <c r="J4" s="51" t="inlineStr">
        <is>
          <t>TOTAL</t>
        </is>
      </c>
      <c r="K4" s="3" t="n"/>
      <c r="M4" t="inlineStr">
        <is>
          <t>ultima boleta emitida</t>
        </is>
      </c>
      <c r="O4" t="n">
        <v>0</v>
      </c>
    </row>
    <row r="5">
      <c r="B5" s="54" t="n"/>
      <c r="C5" s="54" t="inlineStr">
        <is>
          <t xml:space="preserve">BOLETAS DEL/ HASTA </t>
        </is>
      </c>
      <c r="D5" s="54" t="inlineStr">
        <is>
          <t>BOLETAS</t>
        </is>
      </c>
      <c r="E5" s="54" t="inlineStr">
        <is>
          <t>EXENTAS</t>
        </is>
      </c>
      <c r="F5" s="54" t="n"/>
      <c r="G5" s="54" t="n"/>
      <c r="H5" s="54" t="n"/>
      <c r="I5" s="64" t="n">
        <v>0.19</v>
      </c>
      <c r="J5" s="54" t="n"/>
      <c r="K5" s="3" t="n"/>
      <c r="M5" t="inlineStr">
        <is>
          <t>primera boleta emitida</t>
        </is>
      </c>
      <c r="O5" t="n">
        <v>0</v>
      </c>
    </row>
    <row r="6" ht="15.75" customHeight="1">
      <c r="B6" s="320" t="n">
        <v>46300</v>
      </c>
      <c r="C6" s="58" t="n">
        <v>101</v>
      </c>
      <c r="D6" s="59" t="n"/>
      <c r="E6" s="59" t="n"/>
      <c r="F6" s="1" t="inlineStr">
        <is>
          <t>Exportadora Andes SpA</t>
        </is>
      </c>
      <c r="G6" s="1" t="inlineStr">
        <is>
          <t>76.200.100-4</t>
        </is>
      </c>
      <c r="H6" s="321" t="n">
        <v>1900000</v>
      </c>
      <c r="I6" s="59">
        <f>ROUND(H6*$I$5,0)</f>
        <v/>
      </c>
      <c r="J6" s="59">
        <f>H6+I6</f>
        <v/>
      </c>
      <c r="K6" s="3" t="n"/>
    </row>
    <row r="7" ht="15.75" customHeight="1">
      <c r="B7" s="320" t="n">
        <v>46304</v>
      </c>
      <c r="C7" s="58" t="n">
        <v>102</v>
      </c>
      <c r="D7" s="59" t="n"/>
      <c r="E7" s="59" t="n"/>
      <c r="F7" s="1" t="inlineStr">
        <is>
          <t>Agroindustrial Sur Ltda.</t>
        </is>
      </c>
      <c r="G7" s="1" t="inlineStr">
        <is>
          <t>76.200.200-0</t>
        </is>
      </c>
      <c r="H7" s="321" t="n">
        <v>1500000</v>
      </c>
      <c r="I7" s="59">
        <f>ROUND(H7*$I$5,0)</f>
        <v/>
      </c>
      <c r="J7" s="59">
        <f>H7+I7</f>
        <v/>
      </c>
      <c r="K7" s="3" t="n"/>
    </row>
    <row r="8" ht="15.75" customHeight="1">
      <c r="B8" s="320" t="n">
        <v>46309</v>
      </c>
      <c r="C8" s="58" t="n">
        <v>103</v>
      </c>
      <c r="D8" s="59" t="n"/>
      <c r="E8" s="59" t="n"/>
      <c r="F8" s="1" t="inlineStr">
        <is>
          <t>Hierbas del Valle S.A.</t>
        </is>
      </c>
      <c r="G8" s="1" t="inlineStr">
        <is>
          <t>76.200.300-7</t>
        </is>
      </c>
      <c r="H8" s="321" t="n">
        <v>1400000</v>
      </c>
      <c r="I8" s="59">
        <f>ROUND(H8*$I$5,0)</f>
        <v/>
      </c>
      <c r="J8" s="59">
        <f>H8+I8</f>
        <v/>
      </c>
      <c r="K8" s="3" t="n"/>
      <c r="M8" t="inlineStr">
        <is>
          <t>ultima factura emitida</t>
        </is>
      </c>
      <c r="O8" t="n">
        <v>105</v>
      </c>
    </row>
    <row r="9" ht="15.75" customHeight="1">
      <c r="B9" s="320" t="n">
        <v>46316</v>
      </c>
      <c r="C9" s="58" t="n">
        <v>104</v>
      </c>
      <c r="D9" s="59" t="n"/>
      <c r="E9" s="59" t="n"/>
      <c r="F9" s="1" t="inlineStr">
        <is>
          <t>Comercial Maule SpA</t>
        </is>
      </c>
      <c r="G9" s="1" t="inlineStr">
        <is>
          <t>76.200.400-3</t>
        </is>
      </c>
      <c r="H9" s="321" t="n">
        <v>900000</v>
      </c>
      <c r="I9" s="59">
        <f>ROUND(H9*$I$5,0)</f>
        <v/>
      </c>
      <c r="J9" s="59">
        <f>H9+I9</f>
        <v/>
      </c>
      <c r="K9" s="3" t="n"/>
      <c r="M9" t="inlineStr">
        <is>
          <t>primera factura emitida</t>
        </is>
      </c>
      <c r="O9" t="n">
        <v>101</v>
      </c>
    </row>
    <row r="10" ht="15.75" customHeight="1">
      <c r="B10" s="320" t="n">
        <v>46323</v>
      </c>
      <c r="C10" s="58" t="n">
        <v>105</v>
      </c>
      <c r="D10" s="59" t="n"/>
      <c r="E10" s="59" t="n"/>
      <c r="F10" s="1" t="inlineStr">
        <is>
          <t>Distribuidora Bío Bío Ltda.</t>
        </is>
      </c>
      <c r="G10" s="1" t="inlineStr">
        <is>
          <t>76.200.500-K</t>
        </is>
      </c>
      <c r="H10" s="321" t="n">
        <v>1300000</v>
      </c>
      <c r="I10" s="59">
        <f>ROUND(H10*$I$5,0)</f>
        <v/>
      </c>
      <c r="J10" s="59">
        <f>H10+I10</f>
        <v/>
      </c>
      <c r="K10" s="3" t="n"/>
    </row>
    <row r="11" ht="15.75" customHeight="1">
      <c r="B11" s="58" t="n"/>
      <c r="C11" s="58" t="n"/>
      <c r="D11" s="59" t="n"/>
      <c r="E11" s="59" t="n"/>
      <c r="F11" s="1" t="n"/>
      <c r="G11" s="1" t="n"/>
      <c r="H11" s="59" t="n"/>
      <c r="I11" s="59" t="n"/>
      <c r="J11" s="59" t="n"/>
      <c r="K11" s="3" t="n"/>
    </row>
    <row r="12" ht="15.75" customHeight="1">
      <c r="B12" s="58" t="n"/>
      <c r="C12" s="58" t="n"/>
      <c r="D12" s="59" t="n"/>
      <c r="E12" s="59" t="n"/>
      <c r="F12" s="1" t="n"/>
      <c r="G12" s="1" t="n"/>
      <c r="H12" s="59" t="n"/>
      <c r="I12" s="59" t="n"/>
      <c r="J12" s="59" t="n"/>
      <c r="K12" s="3" t="n"/>
      <c r="M12" s="81" t="inlineStr">
        <is>
          <t>CAJA</t>
        </is>
      </c>
      <c r="N12" s="7" t="n"/>
      <c r="O12" s="82" t="n"/>
      <c r="P12" s="31">
        <f>J34</f>
        <v/>
      </c>
      <c r="Q12" s="1" t="n"/>
    </row>
    <row r="13" ht="15.75" customHeight="1">
      <c r="B13" s="58" t="n"/>
      <c r="C13" s="58" t="n"/>
      <c r="D13" s="59" t="n"/>
      <c r="E13" s="59" t="n"/>
      <c r="F13" s="1" t="n"/>
      <c r="G13" s="1" t="n"/>
      <c r="H13" s="59" t="n"/>
      <c r="I13" s="59" t="n"/>
      <c r="J13" s="59" t="n"/>
      <c r="K13" s="3" t="n"/>
      <c r="M13" s="3" t="n"/>
      <c r="N13" s="42" t="inlineStr">
        <is>
          <t>VENTAS</t>
        </is>
      </c>
      <c r="O13" s="83" t="n"/>
      <c r="P13" s="1" t="n"/>
      <c r="Q13" s="31">
        <f>H34</f>
        <v/>
      </c>
    </row>
    <row r="14" ht="15.75" customHeight="1">
      <c r="B14" s="58" t="n"/>
      <c r="C14" s="58" t="n"/>
      <c r="D14" s="59" t="n"/>
      <c r="E14" s="59" t="n"/>
      <c r="F14" s="1" t="n"/>
      <c r="G14" s="1" t="n"/>
      <c r="H14" s="59" t="n"/>
      <c r="I14" s="59" t="n"/>
      <c r="J14" s="59" t="n"/>
      <c r="K14" s="3" t="n"/>
      <c r="M14" s="3" t="n"/>
      <c r="N14" s="42" t="inlineStr">
        <is>
          <t>VENTAS EXENTAS</t>
        </is>
      </c>
      <c r="O14" s="83" t="n"/>
      <c r="P14" s="1" t="n"/>
      <c r="Q14" s="31">
        <f>E34</f>
        <v/>
      </c>
    </row>
    <row r="15" ht="15.75" customHeight="1">
      <c r="B15" s="58" t="n"/>
      <c r="C15" s="58" t="n"/>
      <c r="D15" s="59" t="n"/>
      <c r="E15" s="59" t="n"/>
      <c r="F15" s="1" t="n"/>
      <c r="G15" s="1" t="n"/>
      <c r="H15" s="59" t="n"/>
      <c r="I15" s="59" t="n"/>
      <c r="J15" s="59" t="n"/>
      <c r="K15" s="3" t="n"/>
      <c r="M15" s="3" t="n"/>
      <c r="N15" s="42" t="inlineStr">
        <is>
          <t>SERVICIOS</t>
        </is>
      </c>
      <c r="O15" s="83" t="n"/>
      <c r="P15" s="1" t="n"/>
      <c r="Q15" s="31" t="n">
        <v>0</v>
      </c>
    </row>
    <row r="16" ht="15.75" customHeight="1">
      <c r="B16" s="58" t="n"/>
      <c r="C16" s="58" t="n"/>
      <c r="D16" s="59" t="n"/>
      <c r="E16" s="59" t="n"/>
      <c r="F16" s="1" t="n"/>
      <c r="G16" s="1" t="n"/>
      <c r="H16" s="59" t="n"/>
      <c r="I16" s="59" t="n"/>
      <c r="J16" s="59" t="n"/>
      <c r="K16" s="3" t="n"/>
      <c r="M16" s="84" t="n"/>
      <c r="N16" s="85" t="inlineStr">
        <is>
          <t>DEBITO FISCAL</t>
        </is>
      </c>
      <c r="O16" s="86" t="n"/>
      <c r="P16" s="1" t="n"/>
      <c r="Q16" s="31">
        <f>I34</f>
        <v/>
      </c>
    </row>
    <row r="17" ht="15.75" customHeight="1">
      <c r="B17" s="58" t="n"/>
      <c r="C17" s="58" t="n"/>
      <c r="D17" s="59" t="n"/>
      <c r="E17" s="59" t="n"/>
      <c r="F17" s="1" t="n"/>
      <c r="G17" s="1" t="n"/>
      <c r="H17" s="59" t="n"/>
      <c r="I17" s="59" t="n"/>
      <c r="J17" s="59" t="n"/>
      <c r="K17" s="3" t="n"/>
    </row>
    <row r="18" ht="15.75" customHeight="1">
      <c r="B18" s="58" t="n"/>
      <c r="C18" s="58" t="n"/>
      <c r="D18" s="59" t="n"/>
      <c r="E18" s="59" t="n"/>
      <c r="F18" s="1" t="n"/>
      <c r="G18" s="1" t="n"/>
      <c r="H18" s="59" t="n"/>
      <c r="I18" s="59" t="n"/>
      <c r="J18" s="59" t="n"/>
      <c r="K18" s="3" t="n"/>
    </row>
    <row r="19" ht="15.75" customHeight="1">
      <c r="B19" s="58" t="n"/>
      <c r="C19" s="58" t="n"/>
      <c r="D19" s="59" t="n"/>
      <c r="E19" s="59" t="n"/>
      <c r="F19" s="1" t="n"/>
      <c r="G19" s="1" t="n"/>
      <c r="H19" s="59" t="n"/>
      <c r="I19" s="59" t="n"/>
      <c r="J19" s="59" t="n"/>
      <c r="K19" s="3" t="n"/>
      <c r="M19" s="81" t="inlineStr">
        <is>
          <t>COSTO DE VENTAS</t>
        </is>
      </c>
      <c r="N19" s="7" t="n"/>
      <c r="O19" s="82" t="n"/>
      <c r="P19" s="31">
        <f>ROUND(H34/(1+Parámetros!B6),0)</f>
        <v/>
      </c>
      <c r="Q19" s="1" t="n"/>
      <c r="S19" s="80" t="n"/>
    </row>
    <row r="20" ht="15.75" customHeight="1">
      <c r="B20" s="58" t="n"/>
      <c r="C20" s="58" t="n"/>
      <c r="D20" s="59" t="n"/>
      <c r="E20" s="59" t="n"/>
      <c r="F20" s="1" t="n"/>
      <c r="G20" s="1" t="n"/>
      <c r="H20" s="59" t="n"/>
      <c r="I20" s="59" t="n"/>
      <c r="J20" s="59" t="n"/>
      <c r="K20" s="3" t="n"/>
      <c r="M20" s="3" t="n"/>
      <c r="N20" s="42" t="inlineStr">
        <is>
          <t>MERCADERIAS</t>
        </is>
      </c>
      <c r="O20" s="83" t="n"/>
      <c r="P20" s="1" t="n"/>
      <c r="Q20" s="31">
        <f>P19</f>
        <v/>
      </c>
    </row>
    <row r="21" ht="15.75" customHeight="1">
      <c r="B21" s="58" t="n"/>
      <c r="C21" s="58" t="n"/>
      <c r="D21" s="59" t="n"/>
      <c r="E21" s="59" t="n"/>
      <c r="F21" s="1" t="n"/>
      <c r="G21" s="1" t="n"/>
      <c r="H21" s="59" t="n"/>
      <c r="I21" s="59" t="n"/>
      <c r="J21" s="59" t="n"/>
      <c r="K21" s="3" t="n"/>
      <c r="M21" s="84" t="n"/>
      <c r="N21" s="85" t="inlineStr">
        <is>
          <t>MERCADERIAS EXENTAS</t>
        </is>
      </c>
      <c r="O21" s="86" t="n"/>
      <c r="P21" s="1" t="n"/>
      <c r="Q21" s="31" t="n">
        <v>0</v>
      </c>
    </row>
    <row r="22" ht="15.75" customHeight="1">
      <c r="B22" s="58" t="n"/>
      <c r="C22" s="58" t="n"/>
      <c r="D22" s="59" t="n"/>
      <c r="E22" s="59" t="n"/>
      <c r="F22" s="1" t="n"/>
      <c r="G22" s="1" t="n"/>
      <c r="H22" s="59" t="n"/>
      <c r="I22" s="59" t="n"/>
      <c r="J22" s="59" t="n"/>
      <c r="K22" s="3" t="n"/>
    </row>
    <row r="23" ht="15.75" customHeight="1">
      <c r="B23" s="58" t="n"/>
      <c r="C23" s="58" t="n"/>
      <c r="D23" s="59" t="n"/>
      <c r="E23" s="59" t="n"/>
      <c r="F23" s="1" t="n"/>
      <c r="G23" s="1" t="n"/>
      <c r="H23" s="59" t="n"/>
      <c r="I23" s="59" t="n"/>
      <c r="J23" s="59" t="n"/>
      <c r="K23" s="3" t="n"/>
    </row>
    <row r="24" ht="15.75" customHeight="1">
      <c r="B24" s="58" t="n"/>
      <c r="C24" s="58" t="n"/>
      <c r="D24" s="59" t="n"/>
      <c r="E24" s="59" t="n"/>
      <c r="F24" s="1" t="n"/>
      <c r="G24" s="1" t="n"/>
      <c r="H24" s="59" t="n"/>
      <c r="I24" s="59" t="n"/>
      <c r="J24" s="59" t="n"/>
      <c r="K24" s="3" t="n"/>
    </row>
    <row r="25" ht="15.75" customHeight="1">
      <c r="B25" s="58" t="n"/>
      <c r="C25" s="58" t="n"/>
      <c r="D25" s="59" t="n"/>
      <c r="E25" s="59" t="n"/>
      <c r="F25" s="1" t="n"/>
      <c r="G25" s="1" t="n"/>
      <c r="H25" s="59" t="n"/>
      <c r="I25" s="59" t="n"/>
      <c r="J25" s="59" t="n"/>
      <c r="K25" s="3" t="n"/>
    </row>
    <row r="26" ht="15.75" customHeight="1">
      <c r="B26" s="58" t="n"/>
      <c r="C26" s="58" t="n"/>
      <c r="D26" s="59" t="n"/>
      <c r="E26" s="59" t="n"/>
      <c r="F26" s="1" t="n"/>
      <c r="G26" s="1" t="n"/>
      <c r="H26" s="59" t="n"/>
      <c r="I26" s="59" t="n"/>
      <c r="J26" s="59" t="n"/>
      <c r="K26" s="3" t="n"/>
    </row>
    <row r="27" ht="15.75" customHeight="1">
      <c r="B27" s="58" t="n"/>
      <c r="C27" s="58" t="n"/>
      <c r="D27" s="59" t="n"/>
      <c r="E27" s="59" t="n"/>
      <c r="F27" s="1" t="n"/>
      <c r="G27" s="1" t="n"/>
      <c r="H27" s="59" t="n"/>
      <c r="I27" s="59" t="n"/>
      <c r="J27" s="59" t="n"/>
      <c r="K27" s="3" t="n"/>
    </row>
    <row r="28" ht="15.75" customHeight="1">
      <c r="B28" s="58" t="n"/>
      <c r="C28" s="58" t="n"/>
      <c r="D28" s="59" t="n"/>
      <c r="E28" s="59" t="n"/>
      <c r="F28" s="1" t="n"/>
      <c r="G28" s="1" t="n"/>
      <c r="H28" s="59" t="n"/>
      <c r="I28" s="59" t="n"/>
      <c r="J28" s="59" t="n"/>
      <c r="K28" s="3" t="n"/>
    </row>
    <row r="29" ht="15.75" customHeight="1">
      <c r="B29" s="58" t="n"/>
      <c r="C29" s="58" t="n"/>
      <c r="D29" s="59" t="n"/>
      <c r="E29" s="59" t="n"/>
      <c r="F29" s="1" t="n"/>
      <c r="G29" s="1" t="n"/>
      <c r="H29" s="59" t="n"/>
      <c r="I29" s="59" t="n"/>
      <c r="J29" s="59" t="n"/>
      <c r="K29" s="3" t="n"/>
    </row>
    <row r="30" ht="15.75" customHeight="1">
      <c r="B30" s="58" t="n"/>
      <c r="C30" s="58" t="n"/>
      <c r="D30" s="59" t="n"/>
      <c r="E30" s="59" t="n"/>
      <c r="F30" s="1" t="n"/>
      <c r="G30" s="1" t="n"/>
      <c r="H30" s="59" t="n"/>
      <c r="I30" s="59" t="n"/>
      <c r="J30" s="59" t="n"/>
      <c r="K30" s="3" t="n"/>
    </row>
    <row r="31" ht="15.75" customHeight="1">
      <c r="B31" s="58" t="n"/>
      <c r="C31" s="58" t="n"/>
      <c r="D31" s="59" t="n"/>
      <c r="E31" s="59" t="n"/>
      <c r="F31" s="1" t="n"/>
      <c r="G31" s="1" t="n"/>
      <c r="H31" s="59" t="n"/>
      <c r="I31" s="59" t="n"/>
      <c r="J31" s="59" t="n"/>
      <c r="K31" s="3" t="n"/>
    </row>
    <row r="32" ht="15.75" customHeight="1">
      <c r="B32" s="58" t="n"/>
      <c r="C32" s="58" t="n"/>
      <c r="D32" s="59" t="n"/>
      <c r="E32" s="59" t="n"/>
      <c r="F32" s="1" t="n"/>
      <c r="G32" s="1" t="n"/>
      <c r="H32" s="59" t="n"/>
      <c r="I32" s="59" t="n"/>
      <c r="J32" s="59" t="n"/>
      <c r="K32" s="3" t="n"/>
    </row>
    <row r="33" ht="15.75" customHeight="1">
      <c r="B33" s="58" t="n"/>
      <c r="C33" s="58" t="n"/>
      <c r="D33" s="59" t="n"/>
      <c r="E33" s="59" t="n"/>
      <c r="F33" s="1" t="n"/>
      <c r="G33" s="1" t="n"/>
      <c r="H33" s="59" t="n"/>
      <c r="I33" s="59" t="n"/>
      <c r="J33" s="59" t="n"/>
      <c r="K33" s="3" t="n"/>
    </row>
    <row r="34" ht="18.75" customHeight="1">
      <c r="B34" s="63" t="n"/>
      <c r="C34" s="63" t="n"/>
      <c r="D34" s="66">
        <f>SUM(D6:D33)</f>
        <v/>
      </c>
      <c r="E34" s="66">
        <f>SUM(E6:E33)</f>
        <v/>
      </c>
      <c r="F34" s="139" t="inlineStr">
        <is>
          <t>SUMAS</t>
        </is>
      </c>
      <c r="G34" s="6" t="n"/>
      <c r="H34" s="66">
        <f>SUM(H6:H33)</f>
        <v/>
      </c>
      <c r="I34" s="66">
        <f>SUM(I6:I33)</f>
        <v/>
      </c>
      <c r="J34" s="66">
        <f>SUM(J6:J33)</f>
        <v/>
      </c>
    </row>
    <row r="35">
      <c r="F35" s="4" t="n"/>
      <c r="G35" s="4" t="n"/>
    </row>
    <row r="36" ht="18.75" customHeight="1">
      <c r="B36" s="50" t="inlineStr">
        <is>
          <t>( + ) NOTAS DE DEBITO</t>
        </is>
      </c>
    </row>
    <row r="37">
      <c r="B37" s="1" t="n"/>
      <c r="C37" s="1" t="n"/>
      <c r="D37" s="1" t="n"/>
      <c r="E37" s="1" t="n"/>
      <c r="F37" s="1" t="n"/>
      <c r="G37" s="1" t="n"/>
      <c r="H37" s="31" t="n"/>
      <c r="I37" s="31" t="n"/>
      <c r="J37" s="31" t="n"/>
    </row>
    <row r="38">
      <c r="B38" s="1" t="n"/>
      <c r="C38" s="1" t="n"/>
      <c r="D38" s="1" t="n"/>
      <c r="E38" s="1" t="n"/>
      <c r="F38" s="1" t="n"/>
      <c r="G38" s="1" t="n"/>
      <c r="H38" s="31" t="n"/>
      <c r="I38" s="31" t="n"/>
      <c r="J38" s="31" t="n"/>
    </row>
    <row r="39">
      <c r="B39" s="1" t="n"/>
      <c r="C39" s="1" t="n"/>
      <c r="D39" s="1" t="n"/>
      <c r="E39" s="1" t="n"/>
      <c r="F39" s="1" t="n"/>
      <c r="G39" s="1" t="n"/>
      <c r="H39" s="31" t="n"/>
      <c r="I39" s="31" t="n"/>
      <c r="J39" s="31" t="n"/>
    </row>
    <row r="40">
      <c r="B40" s="1" t="n"/>
      <c r="C40" s="1" t="n"/>
      <c r="D40" s="1" t="n"/>
      <c r="E40" s="1" t="n"/>
      <c r="F40" s="1" t="n"/>
      <c r="G40" s="1" t="n"/>
      <c r="H40" s="31" t="n"/>
      <c r="I40" s="31" t="n"/>
      <c r="J40" s="31" t="n"/>
    </row>
    <row r="41">
      <c r="B41" s="1" t="n"/>
      <c r="C41" s="1" t="n"/>
      <c r="D41" s="1" t="n"/>
      <c r="E41" s="1" t="n"/>
      <c r="F41" s="1" t="n"/>
      <c r="G41" s="1" t="n"/>
      <c r="H41" s="31" t="n"/>
      <c r="I41" s="31" t="n"/>
      <c r="J41" s="31" t="n"/>
    </row>
    <row r="42">
      <c r="B42" s="1" t="n"/>
      <c r="C42" s="1" t="n"/>
      <c r="D42" s="1" t="n"/>
      <c r="E42" s="1" t="n"/>
      <c r="F42" s="1" t="n"/>
      <c r="G42" s="1" t="n"/>
      <c r="H42" s="31" t="n"/>
      <c r="I42" s="31" t="n"/>
      <c r="J42" s="31" t="n"/>
    </row>
    <row r="43">
      <c r="B43" s="1" t="n"/>
      <c r="C43" s="1" t="n"/>
      <c r="D43" s="1" t="n"/>
      <c r="E43" s="1" t="n"/>
      <c r="F43" s="1" t="n"/>
      <c r="G43" s="1" t="n"/>
      <c r="H43" s="31" t="n"/>
      <c r="I43" s="31" t="n"/>
      <c r="J43" s="31" t="n"/>
    </row>
    <row r="44">
      <c r="B44" s="1" t="n"/>
      <c r="C44" s="1" t="n"/>
      <c r="D44" s="1" t="n"/>
      <c r="E44" s="1" t="n"/>
      <c r="F44" s="1" t="n"/>
      <c r="G44" s="1" t="n"/>
      <c r="H44" s="31" t="n"/>
      <c r="I44" s="31" t="n"/>
      <c r="J44" s="31" t="n"/>
    </row>
    <row r="45">
      <c r="B45" s="1" t="n"/>
      <c r="C45" s="1" t="n"/>
      <c r="D45" s="1" t="n"/>
      <c r="E45" s="1" t="n"/>
      <c r="F45" s="1" t="n"/>
      <c r="G45" s="1" t="n"/>
      <c r="H45" s="31" t="n"/>
      <c r="I45" s="31" t="n"/>
      <c r="J45" s="31" t="n"/>
    </row>
    <row r="46">
      <c r="B46" s="1" t="n"/>
      <c r="C46" s="1" t="n"/>
      <c r="D46" s="1" t="n"/>
      <c r="E46" s="1" t="n"/>
      <c r="F46" s="1" t="n"/>
      <c r="G46" s="1" t="n"/>
      <c r="H46" s="31" t="n"/>
      <c r="I46" s="31" t="n"/>
      <c r="J46" s="31" t="n"/>
    </row>
    <row r="47">
      <c r="B47" s="1" t="n"/>
      <c r="C47" s="1" t="n"/>
      <c r="D47" s="1" t="n"/>
      <c r="E47" s="1" t="n"/>
      <c r="F47" s="1" t="n"/>
      <c r="G47" s="1" t="n"/>
      <c r="H47" s="31" t="n"/>
      <c r="I47" s="31" t="n"/>
      <c r="J47" s="31" t="n"/>
    </row>
    <row r="48">
      <c r="B48" s="1" t="n"/>
      <c r="C48" s="1" t="n"/>
      <c r="D48" s="1" t="n"/>
      <c r="E48" s="1" t="n"/>
      <c r="F48" s="1" t="n"/>
      <c r="G48" s="1" t="n"/>
      <c r="H48" s="31" t="n"/>
      <c r="I48" s="31" t="n"/>
      <c r="J48" s="31" t="n"/>
    </row>
    <row r="49" ht="15.75" customHeight="1">
      <c r="F49" s="322" t="inlineStr">
        <is>
          <t>SUMAS</t>
        </is>
      </c>
      <c r="G49" s="6" t="n"/>
      <c r="H49" s="39" t="n"/>
      <c r="I49" s="39" t="n"/>
      <c r="J49" s="39" t="n"/>
    </row>
    <row r="51" ht="18.75" customHeight="1">
      <c r="B51" s="50" t="inlineStr">
        <is>
          <t>( - ) NOTAS DE CREDITO</t>
        </is>
      </c>
    </row>
    <row r="52">
      <c r="B52" s="33" t="n"/>
      <c r="C52" s="1" t="n"/>
      <c r="D52" s="1" t="n"/>
      <c r="E52" s="1" t="n"/>
      <c r="F52" s="1" t="n"/>
      <c r="G52" s="1" t="n"/>
      <c r="H52" s="31" t="n"/>
      <c r="I52" s="31" t="n"/>
      <c r="J52" s="31" t="n"/>
    </row>
    <row r="53">
      <c r="B53" s="1" t="n"/>
      <c r="C53" s="1" t="n"/>
      <c r="D53" s="1" t="n"/>
      <c r="E53" s="1" t="n"/>
      <c r="F53" s="1" t="n"/>
      <c r="G53" s="1" t="n"/>
      <c r="H53" s="31" t="n"/>
      <c r="I53" s="31" t="n"/>
      <c r="J53" s="31" t="n"/>
    </row>
    <row r="54">
      <c r="B54" s="1" t="n"/>
      <c r="C54" s="1" t="n"/>
      <c r="D54" s="1" t="n"/>
      <c r="E54" s="1" t="n"/>
      <c r="F54" s="1" t="n"/>
      <c r="G54" s="1" t="n"/>
      <c r="H54" s="31" t="n"/>
      <c r="I54" s="31" t="n"/>
      <c r="J54" s="31" t="n"/>
    </row>
    <row r="55">
      <c r="B55" s="1" t="n"/>
      <c r="C55" s="1" t="n"/>
      <c r="D55" s="1" t="n"/>
      <c r="E55" s="1" t="n"/>
      <c r="F55" s="1" t="n"/>
      <c r="G55" s="1" t="n"/>
      <c r="H55" s="31" t="n"/>
      <c r="I55" s="31" t="n"/>
      <c r="J55" s="31" t="n"/>
    </row>
    <row r="56">
      <c r="B56" s="1" t="n"/>
      <c r="C56" s="1" t="n"/>
      <c r="D56" s="1" t="n"/>
      <c r="E56" s="1" t="n"/>
      <c r="F56" s="1" t="n"/>
      <c r="G56" s="1" t="n"/>
      <c r="H56" s="31" t="n"/>
      <c r="I56" s="31" t="n"/>
      <c r="J56" s="31" t="n"/>
    </row>
    <row r="57">
      <c r="B57" s="1" t="n"/>
      <c r="C57" s="1" t="n"/>
      <c r="D57" s="1" t="n"/>
      <c r="E57" s="1" t="n"/>
      <c r="F57" s="1" t="n"/>
      <c r="G57" s="1" t="n"/>
      <c r="H57" s="31" t="n"/>
      <c r="I57" s="31" t="n"/>
      <c r="J57" s="31" t="n"/>
    </row>
    <row r="58">
      <c r="B58" s="1" t="n"/>
      <c r="C58" s="1" t="n"/>
      <c r="D58" s="1" t="n"/>
      <c r="E58" s="1" t="n"/>
      <c r="F58" s="1" t="n"/>
      <c r="G58" s="1" t="n"/>
      <c r="H58" s="31" t="n"/>
      <c r="I58" s="31" t="n"/>
      <c r="J58" s="31" t="n"/>
    </row>
    <row r="59">
      <c r="B59" s="1" t="n"/>
      <c r="C59" s="1" t="n"/>
      <c r="D59" s="1" t="n"/>
      <c r="E59" s="1" t="n"/>
      <c r="F59" s="1" t="n"/>
      <c r="G59" s="1" t="n"/>
      <c r="H59" s="31" t="n"/>
      <c r="I59" s="31" t="n"/>
      <c r="J59" s="31" t="n"/>
    </row>
    <row r="60">
      <c r="B60" s="1" t="n"/>
      <c r="C60" s="1" t="n"/>
      <c r="D60" s="1" t="n"/>
      <c r="E60" s="1" t="n"/>
      <c r="F60" s="1" t="n"/>
      <c r="G60" s="1" t="n"/>
      <c r="H60" s="31" t="n"/>
      <c r="I60" s="31" t="n"/>
      <c r="J60" s="31" t="n"/>
    </row>
    <row r="61">
      <c r="B61" s="1" t="n"/>
      <c r="C61" s="1" t="n"/>
      <c r="D61" s="1" t="n"/>
      <c r="E61" s="1" t="n"/>
      <c r="F61" s="1" t="n"/>
      <c r="G61" s="1" t="n"/>
      <c r="H61" s="31" t="n"/>
      <c r="I61" s="31" t="n"/>
      <c r="J61" s="31" t="n"/>
    </row>
    <row r="62">
      <c r="B62" s="1" t="n"/>
      <c r="C62" s="1" t="n"/>
      <c r="D62" s="1" t="n"/>
      <c r="E62" s="1" t="n"/>
      <c r="F62" s="1" t="n"/>
      <c r="G62" s="1" t="n"/>
      <c r="H62" s="31" t="n"/>
      <c r="I62" s="31" t="n"/>
      <c r="J62" s="31" t="n"/>
    </row>
    <row r="63">
      <c r="B63" s="1" t="n"/>
      <c r="C63" s="1" t="n"/>
      <c r="D63" s="1" t="n"/>
      <c r="E63" s="1" t="n"/>
      <c r="F63" s="1" t="n"/>
      <c r="G63" s="1" t="n"/>
      <c r="H63" s="31" t="n"/>
      <c r="I63" s="31" t="n"/>
      <c r="J63" s="31" t="n"/>
    </row>
    <row r="64" ht="15.75" customHeight="1">
      <c r="F64" s="322" t="inlineStr">
        <is>
          <t>SUMAS</t>
        </is>
      </c>
      <c r="G64" s="6" t="n"/>
      <c r="H64" s="39" t="n"/>
      <c r="I64" s="39" t="n"/>
      <c r="J64" s="39" t="n"/>
    </row>
    <row r="71" ht="18.75" customHeight="1">
      <c r="B71" s="142" t="inlineStr">
        <is>
          <t>Resumen de la declaración</t>
        </is>
      </c>
      <c r="C71" s="323" t="n"/>
      <c r="D71" s="323" t="n"/>
      <c r="E71" s="323" t="n"/>
    </row>
    <row r="72" ht="17.25" customHeight="1">
      <c r="B72" s="324" t="inlineStr">
        <is>
          <t>3 VENTAS NETAS</t>
        </is>
      </c>
      <c r="C72" s="6" t="n"/>
      <c r="D72" s="324" t="inlineStr">
        <is>
          <t>4 IVA DEBITOS</t>
        </is>
      </c>
      <c r="E72" s="6" t="n"/>
      <c r="G72" s="325" t="inlineStr">
        <is>
          <t>SUB- TOTAL VENTAS</t>
        </is>
      </c>
      <c r="H72" s="317" t="n"/>
      <c r="I72" s="6" t="n"/>
      <c r="J72" s="116">
        <f>J34</f>
        <v/>
      </c>
    </row>
    <row r="73" ht="17.25" customHeight="1">
      <c r="B73" s="326">
        <f>J77</f>
        <v/>
      </c>
      <c r="C73" s="6" t="n"/>
      <c r="D73" s="326">
        <f>J78</f>
        <v/>
      </c>
      <c r="E73" s="6" t="n"/>
      <c r="G73" s="325" t="inlineStr">
        <is>
          <t xml:space="preserve"> - VENTAS EXENTAS</t>
        </is>
      </c>
      <c r="H73" s="317" t="n"/>
      <c r="I73" s="6" t="n"/>
      <c r="J73" s="75">
        <f>E34</f>
        <v/>
      </c>
    </row>
    <row r="74" ht="17.25" customHeight="1">
      <c r="B74" s="324" t="inlineStr">
        <is>
          <t>1 COMPRAS AFECTAS</t>
        </is>
      </c>
      <c r="C74" s="6" t="n"/>
      <c r="D74" s="324" t="inlineStr">
        <is>
          <t>2 IVA CREDITO</t>
        </is>
      </c>
      <c r="E74" s="6" t="n"/>
      <c r="G74" s="327" t="inlineStr">
        <is>
          <t>SUMAS DE MES</t>
        </is>
      </c>
      <c r="H74" s="317" t="n"/>
      <c r="I74" s="6" t="n"/>
      <c r="J74" s="136">
        <f>J72-J73</f>
        <v/>
      </c>
    </row>
    <row r="75" ht="17.25" customHeight="1">
      <c r="B75" s="326">
        <f>'L. COMPRAS'!H64</f>
        <v/>
      </c>
      <c r="C75" s="6" t="n"/>
      <c r="D75" s="38">
        <f>'L. COMPRAS'!I64</f>
        <v/>
      </c>
      <c r="E75" s="6" t="n"/>
      <c r="G75" s="325" t="inlineStr">
        <is>
          <t xml:space="preserve"> - NOTAS DE CREDITO (DEVOL.)</t>
        </is>
      </c>
      <c r="H75" s="317" t="n"/>
      <c r="I75" s="6" t="n"/>
      <c r="J75" s="116">
        <f>J64</f>
        <v/>
      </c>
    </row>
    <row r="76" ht="17.25" customHeight="1">
      <c r="B76" s="328" t="inlineStr">
        <is>
          <t>IMPTO DETERMINADO</t>
        </is>
      </c>
      <c r="C76" s="6" t="n"/>
      <c r="D76" s="329">
        <f>MAX(D73-D75-D78,0)</f>
        <v/>
      </c>
      <c r="E76" s="6" t="n"/>
      <c r="G76" s="327" t="inlineStr">
        <is>
          <t>TOTAL VENTAS IVA INCLUI.</t>
        </is>
      </c>
      <c r="H76" s="317" t="n"/>
      <c r="I76" s="6" t="n"/>
      <c r="J76" s="136">
        <f>J74-J75</f>
        <v/>
      </c>
    </row>
    <row r="77" ht="17.25" customHeight="1">
      <c r="B77" s="330" t="inlineStr">
        <is>
          <t>o CREDITO DEL MES</t>
        </is>
      </c>
      <c r="C77" s="6" t="n"/>
      <c r="D77" s="38">
        <f>MAX(D75-D73,0)</f>
        <v/>
      </c>
      <c r="E77" s="6" t="n"/>
      <c r="G77" s="325" t="inlineStr">
        <is>
          <t>TOTAL VENTAS NETAS (3)</t>
        </is>
      </c>
      <c r="H77" s="317" t="n"/>
      <c r="I77" s="6" t="n"/>
      <c r="J77" s="75">
        <f>ROUND(J76/(1+I5),0)</f>
        <v/>
      </c>
    </row>
    <row r="78" ht="17.25" customHeight="1">
      <c r="B78" s="330" t="inlineStr">
        <is>
          <t xml:space="preserve">  -REMANENTE CREDITO ANTERIOR</t>
        </is>
      </c>
      <c r="C78" s="6" t="n"/>
      <c r="D78" s="38">
        <f>E94</f>
        <v/>
      </c>
      <c r="E78" s="6" t="n"/>
      <c r="G78" s="325" t="inlineStr">
        <is>
          <t>IVA DEBITO VENTAS (4)</t>
        </is>
      </c>
      <c r="H78" s="317" t="n"/>
      <c r="I78" s="6" t="n"/>
      <c r="J78" s="116">
        <f>J76-J77</f>
        <v/>
      </c>
    </row>
    <row r="79" ht="17.25" customHeight="1">
      <c r="B79" s="330" t="inlineStr">
        <is>
          <t>Remanente Mes siguiente</t>
        </is>
      </c>
      <c r="C79" s="6" t="n"/>
      <c r="D79" s="326">
        <f>MAX(D75+D78-D73,0)</f>
        <v/>
      </c>
      <c r="E79" s="6" t="n"/>
      <c r="G79" s="7" t="n"/>
      <c r="H79" s="7" t="n"/>
      <c r="I79" s="7" t="n"/>
    </row>
    <row r="80" ht="17.25" customHeight="1">
      <c r="B80" s="128" t="inlineStr">
        <is>
          <t>Impto. Iva por Pagar</t>
        </is>
      </c>
      <c r="C80" s="129" t="n"/>
      <c r="D80" s="118">
        <f>D76</f>
        <v/>
      </c>
      <c r="E80" s="119" t="n"/>
    </row>
    <row r="81" ht="17.25" customHeight="1">
      <c r="A81" s="76" t="n">
        <v>0.01</v>
      </c>
      <c r="B81" s="30" t="inlineStr">
        <is>
          <t xml:space="preserve">PPM                            </t>
        </is>
      </c>
      <c r="C81" s="32">
        <f>+J77+J73</f>
        <v/>
      </c>
      <c r="D81" s="38">
        <f>ROUND(C81*A81,0)</f>
        <v/>
      </c>
      <c r="E81" s="6" t="n"/>
    </row>
    <row r="82" ht="17.25" customHeight="1">
      <c r="B82" s="331" t="inlineStr">
        <is>
          <t>RETENCION 2ª CAT.  13,75%</t>
        </is>
      </c>
      <c r="C82" s="6" t="n"/>
      <c r="D82" s="332" t="n">
        <v>0</v>
      </c>
      <c r="E82" s="6" t="n"/>
    </row>
    <row r="83" ht="17.25" customHeight="1">
      <c r="B83" s="328" t="inlineStr">
        <is>
          <t>IMPTO. UNICO 2A. CAT.</t>
        </is>
      </c>
      <c r="C83" s="6" t="n"/>
      <c r="D83" s="38" t="n">
        <v>0</v>
      </c>
      <c r="E83" s="6" t="n"/>
    </row>
    <row r="84" ht="18.75" customHeight="1">
      <c r="B84" s="315" t="inlineStr">
        <is>
          <t>TOTAL A PAGAR</t>
        </is>
      </c>
      <c r="C84" s="6" t="n"/>
      <c r="D84" s="333">
        <f>D80+D81+D82+D83</f>
        <v/>
      </c>
      <c r="E84" s="6" t="n"/>
      <c r="F84" s="47" t="n"/>
    </row>
    <row r="85" ht="17.25" customHeight="1">
      <c r="B85" s="334" t="inlineStr">
        <is>
          <t>CREDITO MES SGTE</t>
        </is>
      </c>
      <c r="C85" s="6" t="n"/>
      <c r="D85" s="38" t="n"/>
      <c r="E85" s="6" t="n"/>
    </row>
    <row r="86" ht="17.25" customHeight="1">
      <c r="B86" s="335" t="inlineStr">
        <is>
          <t>UTM MES SIGUIENTE</t>
        </is>
      </c>
      <c r="C86" s="6" t="n"/>
      <c r="D86" s="125" t="n"/>
      <c r="E86" s="117" t="n"/>
    </row>
    <row r="87" ht="17.25" customHeight="1">
      <c r="B87" s="335" t="inlineStr">
        <is>
          <t>CREDITO EN UTM</t>
        </is>
      </c>
      <c r="C87" s="6" t="n"/>
      <c r="D87" s="125" t="n"/>
      <c r="E87" s="77" t="n"/>
    </row>
    <row r="88">
      <c r="B88" t="inlineStr">
        <is>
          <t>IVA RETENIDO (cambio de sujeto)</t>
        </is>
      </c>
      <c r="D88" s="47">
        <f>'L. COMPRAS'!K31</f>
        <v/>
      </c>
    </row>
    <row r="89">
      <c r="B89" s="336" t="inlineStr">
        <is>
          <t>TOTAL A PAGAR CON RETENCIÓN</t>
        </is>
      </c>
      <c r="D89" s="337">
        <f>D84+D88</f>
        <v/>
      </c>
    </row>
    <row r="91" ht="17.25" customHeight="1">
      <c r="B91" s="325" t="inlineStr">
        <is>
          <t>REMANENTE MES ANTERIOR</t>
        </is>
      </c>
      <c r="C91" s="6" t="n"/>
      <c r="D91" s="5" t="n"/>
      <c r="E91" s="117" t="n">
        <v>0</v>
      </c>
    </row>
    <row r="92" ht="17.25" customHeight="1">
      <c r="B92" s="325" t="inlineStr">
        <is>
          <t>U.T.M. DEL MES</t>
        </is>
      </c>
      <c r="C92" s="6" t="n"/>
      <c r="D92" s="5" t="n"/>
      <c r="E92" s="117">
        <f>IF('L. COMPRAS'!H3=1,UTM!C4,IF('L. COMPRAS'!H3=2,UTM!C5,IF('L. COMPRAS'!H3=3,UTM!C6,IF('L. COMPRAS'!H3=4,UTM!C7,IF('L. COMPRAS'!H3=5,UTM!C8,IF('L. COMPRAS'!H3=6,UTM!C9,IF('L. COMPRAS'!H3=7,UTM!C10,IF('L. COMPRAS'!H3=8,UTM!C11,IF('L. COMPRAS'!H3=9,UTM!C12,IF('L. COMPRAS'!H3=10,UTM!C13,IF('L. COMPRAS'!H3=11,UTM!C14,IF('L. COMPRAS'!H3=12,UTM!C15))))))))))))</f>
        <v/>
      </c>
    </row>
    <row r="93" ht="17.25" customHeight="1">
      <c r="B93" s="325" t="inlineStr">
        <is>
          <t>REMANENTE EN UTM</t>
        </is>
      </c>
      <c r="C93" s="6" t="n"/>
      <c r="D93" s="5" t="n"/>
      <c r="E93" s="79">
        <f>ROUND(E91/E92,2)</f>
        <v/>
      </c>
    </row>
    <row r="94" ht="17.25" customHeight="1">
      <c r="B94" s="325" t="inlineStr">
        <is>
          <t>REMANENTE ACTUALIZADO</t>
        </is>
      </c>
      <c r="C94" s="6" t="n"/>
      <c r="D94" s="5" t="n"/>
      <c r="E94" s="117">
        <f>ROUND(E92*E93,0)</f>
        <v/>
      </c>
    </row>
  </sheetData>
  <mergeCells count="43">
    <mergeCell ref="B91:C91"/>
    <mergeCell ref="B72:C72"/>
    <mergeCell ref="F34:G34"/>
    <mergeCell ref="D81:E81"/>
    <mergeCell ref="D84:E84"/>
    <mergeCell ref="B93:C93"/>
    <mergeCell ref="G78:I78"/>
    <mergeCell ref="G74:I74"/>
    <mergeCell ref="B77:C77"/>
    <mergeCell ref="D77:E77"/>
    <mergeCell ref="B86:C86"/>
    <mergeCell ref="D76:E76"/>
    <mergeCell ref="G73:I73"/>
    <mergeCell ref="B82:C82"/>
    <mergeCell ref="D75:E75"/>
    <mergeCell ref="G76:I76"/>
    <mergeCell ref="B73:C73"/>
    <mergeCell ref="B87:C87"/>
    <mergeCell ref="B71:E71"/>
    <mergeCell ref="B78:C78"/>
    <mergeCell ref="D72:E72"/>
    <mergeCell ref="D78:E78"/>
    <mergeCell ref="E2:F2"/>
    <mergeCell ref="G75:I75"/>
    <mergeCell ref="B84:C84"/>
    <mergeCell ref="G72:I72"/>
    <mergeCell ref="B83:C83"/>
    <mergeCell ref="G77:I77"/>
    <mergeCell ref="B74:C74"/>
    <mergeCell ref="B92:C92"/>
    <mergeCell ref="D83:E83"/>
    <mergeCell ref="D74:E74"/>
    <mergeCell ref="D82:E82"/>
    <mergeCell ref="D73:E73"/>
    <mergeCell ref="B76:C76"/>
    <mergeCell ref="F49:G49"/>
    <mergeCell ref="B85:C85"/>
    <mergeCell ref="D85:E85"/>
    <mergeCell ref="B94:C94"/>
    <mergeCell ref="B79:C79"/>
    <mergeCell ref="D79:E79"/>
    <mergeCell ref="F64:G64"/>
    <mergeCell ref="B75:C75"/>
  </mergeCells>
  <pageMargins left="0.3149606299212598" right="0.3149606299212598" top="0.5511811023622047" bottom="0.5511811023622047" header="0.3149606299212598" footer="0.3149606299212598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="120" zoomScaleNormal="120" workbookViewId="0">
      <selection activeCell="G3" sqref="G3"/>
    </sheetView>
  </sheetViews>
  <sheetFormatPr baseColWidth="10" defaultRowHeight="15"/>
  <cols>
    <col width="0.7109375" customWidth="1" min="1" max="1"/>
    <col width="4.85546875" customWidth="1" min="2" max="2"/>
    <col width="39.5703125" customWidth="1" min="3" max="3"/>
    <col width="16.140625" customWidth="1" min="4" max="4"/>
    <col width="20" customWidth="1" min="5" max="5"/>
    <col width="17.7109375" customWidth="1" min="6" max="8"/>
  </cols>
  <sheetData>
    <row r="1" ht="9.75" customHeight="1"/>
    <row r="2" ht="21" customHeight="1">
      <c r="B2" s="143" t="inlineStr">
        <is>
          <t>LIBRO DE HONORARIOS</t>
        </is>
      </c>
    </row>
    <row r="3">
      <c r="G3" s="37" t="n"/>
    </row>
    <row r="4" ht="34.5" customHeight="1">
      <c r="B4" s="43" t="inlineStr">
        <is>
          <t>N.</t>
        </is>
      </c>
      <c r="C4" s="43" t="inlineStr">
        <is>
          <t>Nombre del Profesional</t>
        </is>
      </c>
      <c r="D4" s="43" t="inlineStr">
        <is>
          <t>R.U.T. N.</t>
        </is>
      </c>
      <c r="E4" s="43" t="inlineStr">
        <is>
          <t>Profesión</t>
        </is>
      </c>
      <c r="F4" s="43" t="inlineStr">
        <is>
          <t>Honorario Bruto</t>
        </is>
      </c>
      <c r="G4" s="43" t="inlineStr">
        <is>
          <t>Retención</t>
        </is>
      </c>
      <c r="H4" s="43" t="inlineStr">
        <is>
          <t>Honorario Líquido</t>
        </is>
      </c>
    </row>
    <row r="5" ht="17.25" customFormat="1" customHeight="1" s="36">
      <c r="B5" s="35" t="n">
        <v>1</v>
      </c>
      <c r="C5" s="35" t="n"/>
      <c r="D5" s="35" t="n"/>
      <c r="E5" s="35" t="n"/>
      <c r="F5" s="38" t="n"/>
      <c r="G5" s="38" t="n"/>
      <c r="H5" s="38" t="n"/>
    </row>
    <row r="6" ht="17.25" customFormat="1" customHeight="1" s="36">
      <c r="B6" s="35" t="n">
        <v>2</v>
      </c>
      <c r="C6" s="35" t="n"/>
      <c r="D6" s="35" t="n"/>
      <c r="E6" s="35" t="n"/>
      <c r="F6" s="38" t="n"/>
      <c r="G6" s="38" t="n"/>
      <c r="H6" s="38" t="n"/>
    </row>
    <row r="7" ht="17.25" customFormat="1" customHeight="1" s="36">
      <c r="B7" s="35" t="n">
        <v>3</v>
      </c>
      <c r="C7" s="35" t="n"/>
      <c r="D7" s="35" t="n"/>
      <c r="E7" s="35" t="n"/>
      <c r="F7" s="38" t="n"/>
      <c r="G7" s="38" t="n"/>
      <c r="H7" s="38" t="n"/>
    </row>
    <row r="8" ht="17.25" customFormat="1" customHeight="1" s="36">
      <c r="B8" s="35" t="n">
        <v>4</v>
      </c>
      <c r="C8" s="35" t="n"/>
      <c r="D8" s="35" t="n"/>
      <c r="E8" s="35" t="n"/>
      <c r="F8" s="38" t="n"/>
      <c r="G8" s="38" t="n"/>
      <c r="H8" s="38" t="n"/>
    </row>
    <row r="9" ht="17.25" customFormat="1" customHeight="1" s="36">
      <c r="B9" s="35" t="n">
        <v>5</v>
      </c>
      <c r="C9" s="35" t="n"/>
      <c r="D9" s="35" t="n"/>
      <c r="E9" s="35" t="n"/>
      <c r="F9" s="38" t="n"/>
      <c r="G9" s="38" t="n"/>
      <c r="H9" s="38" t="n"/>
    </row>
    <row r="10" ht="17.25" customFormat="1" customHeight="1" s="36">
      <c r="B10" s="35" t="n">
        <v>6</v>
      </c>
      <c r="C10" s="35" t="n"/>
      <c r="D10" s="35" t="n"/>
      <c r="E10" s="35" t="n"/>
      <c r="F10" s="38" t="n"/>
      <c r="G10" s="38" t="n"/>
      <c r="H10" s="38" t="n"/>
    </row>
    <row r="11" ht="17.25" customFormat="1" customHeight="1" s="36">
      <c r="B11" s="35" t="n">
        <v>7</v>
      </c>
      <c r="C11" s="35" t="n"/>
      <c r="D11" s="35" t="n"/>
      <c r="E11" s="35" t="n"/>
      <c r="F11" s="38" t="n"/>
      <c r="G11" s="38" t="n"/>
      <c r="H11" s="38" t="n"/>
    </row>
    <row r="12" ht="17.25" customFormat="1" customHeight="1" s="36">
      <c r="B12" s="35" t="n">
        <v>8</v>
      </c>
      <c r="C12" s="35" t="n"/>
      <c r="D12" s="35" t="n"/>
      <c r="E12" s="35" t="n"/>
      <c r="F12" s="38" t="n"/>
      <c r="G12" s="38" t="n"/>
      <c r="H12" s="38" t="n"/>
    </row>
    <row r="13" ht="17.25" customFormat="1" customHeight="1" s="36">
      <c r="B13" s="35" t="n">
        <v>9</v>
      </c>
      <c r="C13" s="35" t="n"/>
      <c r="D13" s="35" t="n"/>
      <c r="E13" s="35" t="n"/>
      <c r="F13" s="38" t="n"/>
      <c r="G13" s="38" t="n"/>
      <c r="H13" s="38" t="n"/>
    </row>
    <row r="14" ht="17.25" customFormat="1" customHeight="1" s="36">
      <c r="B14" s="35" t="n">
        <v>10</v>
      </c>
      <c r="C14" s="35" t="n"/>
      <c r="D14" s="35" t="n"/>
      <c r="E14" s="35" t="n"/>
      <c r="F14" s="38" t="n"/>
      <c r="G14" s="38" t="n"/>
      <c r="H14" s="38" t="n"/>
    </row>
    <row r="15" ht="17.25" customFormat="1" customHeight="1" s="36">
      <c r="B15" s="35" t="n">
        <v>11</v>
      </c>
      <c r="C15" s="35" t="n"/>
      <c r="D15" s="35" t="n"/>
      <c r="E15" s="35" t="n"/>
      <c r="F15" s="38" t="n"/>
      <c r="G15" s="38" t="n"/>
      <c r="H15" s="38" t="n"/>
    </row>
    <row r="16" ht="17.25" customFormat="1" customHeight="1" s="36">
      <c r="B16" s="35" t="n">
        <v>12</v>
      </c>
      <c r="C16" s="35" t="n"/>
      <c r="D16" s="35" t="n"/>
      <c r="E16" s="35" t="n"/>
      <c r="F16" s="38" t="n"/>
      <c r="G16" s="38" t="n"/>
      <c r="H16" s="38" t="n"/>
    </row>
    <row r="17" ht="17.25" customFormat="1" customHeight="1" s="36">
      <c r="B17" s="35" t="n">
        <v>13</v>
      </c>
      <c r="C17" s="35" t="n"/>
      <c r="D17" s="35" t="n"/>
      <c r="E17" s="35" t="n"/>
      <c r="F17" s="38" t="n"/>
      <c r="G17" s="38" t="n"/>
      <c r="H17" s="38" t="n"/>
    </row>
    <row r="18" ht="17.25" customFormat="1" customHeight="1" s="36">
      <c r="B18" s="35" t="n">
        <v>14</v>
      </c>
      <c r="C18" s="35" t="n"/>
      <c r="D18" s="35" t="n"/>
      <c r="E18" s="35" t="n"/>
      <c r="F18" s="38" t="n"/>
      <c r="G18" s="38" t="n"/>
      <c r="H18" s="38" t="n"/>
    </row>
    <row r="19" ht="17.25" customFormat="1" customHeight="1" s="36">
      <c r="B19" s="35" t="n">
        <v>15</v>
      </c>
      <c r="C19" s="35" t="n"/>
      <c r="D19" s="35" t="n"/>
      <c r="E19" s="35" t="n"/>
      <c r="F19" s="38" t="n"/>
      <c r="G19" s="38" t="n"/>
      <c r="H19" s="38" t="n"/>
    </row>
    <row r="20" ht="17.25" customFormat="1" customHeight="1" s="36">
      <c r="B20" s="35" t="n">
        <v>16</v>
      </c>
      <c r="C20" s="35" t="n"/>
      <c r="D20" s="35" t="n"/>
      <c r="E20" s="35" t="n"/>
      <c r="F20" s="38" t="n"/>
      <c r="G20" s="38" t="n"/>
      <c r="H20" s="38" t="n"/>
    </row>
    <row r="21" ht="17.25" customFormat="1" customHeight="1" s="36">
      <c r="B21" s="35" t="n">
        <v>17</v>
      </c>
      <c r="C21" s="35" t="n"/>
      <c r="D21" s="35" t="n"/>
      <c r="E21" s="35" t="n"/>
      <c r="F21" s="38" t="n"/>
      <c r="G21" s="38" t="n"/>
      <c r="H21" s="38" t="n"/>
    </row>
    <row r="22" ht="17.25" customFormat="1" customHeight="1" s="36">
      <c r="B22" s="35" t="n">
        <v>18</v>
      </c>
      <c r="C22" s="35" t="n"/>
      <c r="D22" s="35" t="n"/>
      <c r="E22" s="35" t="n"/>
      <c r="F22" s="38" t="n"/>
      <c r="G22" s="38" t="n"/>
      <c r="H22" s="38" t="n"/>
    </row>
    <row r="23" ht="17.25" customFormat="1" customHeight="1" s="36">
      <c r="B23" s="35" t="n">
        <v>19</v>
      </c>
      <c r="C23" s="35" t="n"/>
      <c r="D23" s="35" t="n"/>
      <c r="E23" s="35" t="n"/>
      <c r="F23" s="38" t="n"/>
      <c r="G23" s="38" t="n"/>
      <c r="H23" s="38" t="n"/>
    </row>
    <row r="24" ht="17.25" customFormat="1" customHeight="1" s="36">
      <c r="B24" s="35" t="n">
        <v>20</v>
      </c>
      <c r="C24" s="35" t="n"/>
      <c r="D24" s="35" t="n"/>
      <c r="E24" s="35" t="n"/>
      <c r="F24" s="38" t="n"/>
      <c r="G24" s="38" t="n"/>
      <c r="H24" s="38" t="n"/>
    </row>
    <row r="25" ht="17.25" customFormat="1" customHeight="1" s="36">
      <c r="B25" s="35" t="n"/>
      <c r="C25" s="35" t="n"/>
      <c r="D25" s="35" t="n"/>
      <c r="E25" s="35" t="n"/>
      <c r="F25" s="38" t="n"/>
      <c r="G25" s="38" t="n"/>
      <c r="H25" s="38" t="n"/>
    </row>
    <row r="26" ht="17.25" customFormat="1" customHeight="1" s="36">
      <c r="B26" s="35" t="n"/>
      <c r="C26" s="35" t="n"/>
      <c r="D26" s="35" t="n"/>
      <c r="E26" s="35" t="n"/>
      <c r="F26" s="38" t="n"/>
      <c r="G26" s="38" t="n"/>
      <c r="H26" s="38" t="n"/>
    </row>
    <row r="27" ht="17.25" customFormat="1" customHeight="1" s="36">
      <c r="B27" s="35" t="n"/>
      <c r="C27" s="35" t="n"/>
      <c r="D27" s="35" t="n"/>
      <c r="E27" s="35" t="n"/>
      <c r="F27" s="38" t="n"/>
      <c r="G27" s="38" t="n"/>
      <c r="H27" s="38" t="n"/>
    </row>
    <row r="28" ht="21" customHeight="1">
      <c r="B28" s="1" t="n"/>
      <c r="C28" s="88" t="inlineStr">
        <is>
          <t>TOTALES</t>
        </is>
      </c>
      <c r="D28" s="1" t="n"/>
      <c r="E28" s="1" t="n"/>
      <c r="F28" s="87" t="n"/>
      <c r="G28" s="87" t="n"/>
      <c r="H28" s="87" t="n"/>
    </row>
  </sheetData>
  <mergeCells count="1">
    <mergeCell ref="B2:H2"/>
  </mergeCells>
  <pageMargins left="0.7086614173228347" right="0.5118110236220472" top="0.7480314960629921" bottom="0.5511811023622047" header="0.3149606299212598" footer="0.3149606299212598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S102"/>
  <sheetViews>
    <sheetView tabSelected="1" topLeftCell="A16" zoomScaleNormal="100" workbookViewId="0">
      <selection activeCell="T6" sqref="T6"/>
    </sheetView>
  </sheetViews>
  <sheetFormatPr baseColWidth="10" defaultRowHeight="15"/>
  <cols>
    <col width="2.7109375" customWidth="1" min="1" max="1"/>
    <col width="2.42578125" customWidth="1" min="2" max="2"/>
    <col width="0.42578125" customWidth="1" min="3" max="3"/>
    <col width="4" bestFit="1" customWidth="1" min="4" max="4"/>
    <col width="3.140625" customWidth="1" min="5" max="5"/>
    <col width="6.140625" customWidth="1" min="6" max="6"/>
    <col width="5.140625" customWidth="1" min="7" max="7"/>
    <col width="10.42578125" customWidth="1" min="8" max="8"/>
    <col width="3.7109375" customWidth="1" min="9" max="9"/>
    <col width="4" customWidth="1" min="10" max="10"/>
    <col width="4.140625" customWidth="1" min="11" max="11"/>
    <col width="5.5703125" customWidth="1" min="12" max="12"/>
    <col width="3" customWidth="1" min="13" max="13"/>
    <col width="1.42578125" customWidth="1" min="14" max="15"/>
    <col width="2.42578125" customWidth="1" min="16" max="16"/>
    <col width="1.7109375" customWidth="1" min="17" max="17"/>
    <col width="4" customWidth="1" min="18" max="18"/>
    <col width="2.85546875" customWidth="1" min="19" max="19"/>
    <col width="17.85546875" customWidth="1" min="20" max="20"/>
    <col width="3" customWidth="1" min="21" max="21"/>
    <col width="2.5703125" customWidth="1" min="22" max="22"/>
    <col width="2.140625" customWidth="1" min="23" max="23"/>
    <col width="1.5703125" customWidth="1" min="24" max="24"/>
    <col width="1.42578125" customWidth="1" min="25" max="25"/>
    <col width="1.140625" customWidth="1" min="26" max="26"/>
    <col width="2.7109375" customWidth="1" min="27" max="27"/>
    <col width="1.85546875" customWidth="1" min="28" max="28"/>
    <col width="4.42578125" customWidth="1" min="29" max="29"/>
    <col width="3.85546875" customWidth="1" min="30" max="30"/>
    <col width="2.28515625" customWidth="1" min="31" max="31"/>
    <col width="1.7109375" customWidth="1" min="32" max="32"/>
    <col width="4.140625" customWidth="1" min="33" max="33"/>
    <col width="5.140625" customWidth="1" min="34" max="34"/>
    <col width="3.28515625" customWidth="1" min="35" max="35"/>
    <col width="1.140625" customWidth="1" min="36" max="36"/>
    <col width="5.42578125" customWidth="1" min="37" max="37"/>
    <col width="5.140625" customWidth="1" min="38" max="38"/>
    <col width="2.140625" customWidth="1" min="39" max="39"/>
    <col width="2.7109375" customWidth="1" min="40" max="40"/>
    <col width="1.5703125" customWidth="1" min="41" max="41"/>
    <col width="0.85546875" customWidth="1" min="42" max="42"/>
    <col width="7.7109375" bestFit="1" customWidth="1" min="43" max="43"/>
    <col width="30.42578125" customWidth="1" min="44" max="44"/>
    <col width="3" bestFit="1" customWidth="1" min="45" max="45"/>
  </cols>
  <sheetData>
    <row r="1" ht="3.75" customHeight="1">
      <c r="A1" s="8" t="n"/>
      <c r="B1" s="9" t="n"/>
      <c r="C1" s="9" t="n"/>
      <c r="D1" s="10" t="n"/>
      <c r="E1" s="9" t="n"/>
      <c r="F1" s="9" t="n"/>
      <c r="G1" s="8" t="n"/>
      <c r="H1" s="9" t="n"/>
      <c r="I1" s="8" t="n"/>
      <c r="J1" s="9" t="n"/>
      <c r="K1" s="8" t="n"/>
      <c r="L1" s="9" t="n"/>
      <c r="M1" s="8" t="n"/>
      <c r="N1" s="9" t="n"/>
      <c r="O1" s="8" t="n"/>
      <c r="P1" s="9" t="n"/>
      <c r="Q1" s="8" t="n"/>
      <c r="R1" s="9" t="n"/>
      <c r="S1" s="8" t="n"/>
      <c r="T1" s="9" t="n"/>
      <c r="U1" s="8" t="n"/>
      <c r="V1" s="9" t="n"/>
      <c r="W1" s="11" t="n"/>
      <c r="X1" s="12" t="n"/>
      <c r="Y1" s="8" t="n"/>
      <c r="Z1" s="9" t="n"/>
      <c r="AA1" s="8" t="n"/>
      <c r="AB1" s="8" t="n"/>
      <c r="AC1" s="8" t="n"/>
      <c r="AD1" s="9" t="n"/>
      <c r="AE1" s="8" t="n"/>
      <c r="AF1" s="9" t="n"/>
      <c r="AG1" s="8" t="n"/>
      <c r="AH1" s="9" t="n"/>
      <c r="AI1" s="8" t="n"/>
      <c r="AJ1" s="9" t="n"/>
      <c r="AK1" s="8" t="n"/>
      <c r="AL1" s="9" t="n"/>
      <c r="AM1" s="8" t="n"/>
      <c r="AN1" s="9" t="n"/>
      <c r="AO1" s="8" t="n"/>
      <c r="AP1" s="9" t="n"/>
      <c r="AQ1" s="8" t="n"/>
      <c r="AR1" s="338" t="n"/>
      <c r="AS1" s="9" t="n"/>
    </row>
    <row r="2" ht="30" customHeight="1">
      <c r="A2" s="8" t="n"/>
      <c r="B2" s="9" t="n"/>
      <c r="C2" s="9" t="n"/>
      <c r="D2" s="10" t="n"/>
      <c r="E2" s="9" t="n"/>
      <c r="F2" s="9" t="n"/>
      <c r="G2" s="8" t="n"/>
      <c r="H2" s="9" t="n"/>
      <c r="I2" s="8" t="n"/>
      <c r="J2" s="9" t="n"/>
      <c r="K2" s="14" t="inlineStr">
        <is>
          <t>Declaración Mensual y Pago Simultáneo de Impuestos Formulario 29</t>
        </is>
      </c>
      <c r="L2" s="9" t="n"/>
      <c r="M2" s="8" t="n"/>
      <c r="N2" s="9" t="n"/>
      <c r="O2" s="8" t="n"/>
      <c r="P2" s="9" t="n"/>
      <c r="Q2" s="8" t="n"/>
      <c r="R2" s="9" t="n"/>
      <c r="S2" s="8" t="n"/>
      <c r="T2" s="9" t="n"/>
      <c r="U2" s="8" t="n"/>
      <c r="V2" s="9" t="n"/>
      <c r="W2" s="11" t="n"/>
      <c r="X2" s="12" t="n"/>
      <c r="Y2" s="8" t="n"/>
      <c r="Z2" s="9" t="n"/>
      <c r="AA2" s="8" t="n"/>
      <c r="AB2" s="8" t="n"/>
      <c r="AC2" s="8" t="n"/>
      <c r="AD2" s="9" t="n"/>
      <c r="AE2" s="8" t="n"/>
      <c r="AF2" s="9" t="n"/>
      <c r="AG2" s="8" t="n"/>
      <c r="AH2" s="9" t="n"/>
      <c r="AI2" s="8" t="n"/>
      <c r="AJ2" s="9" t="n"/>
      <c r="AK2" s="8" t="n"/>
      <c r="AL2" s="9" t="n"/>
      <c r="AM2" s="8" t="n"/>
      <c r="AN2" s="9" t="n"/>
      <c r="AO2" s="8" t="n"/>
      <c r="AP2" s="9" t="n"/>
      <c r="AQ2" s="8" t="n"/>
      <c r="AR2" s="338" t="n"/>
      <c r="AS2" s="9" t="n"/>
    </row>
    <row r="3" ht="5.25" customHeight="1">
      <c r="A3" s="8" t="n"/>
      <c r="B3" s="9" t="n"/>
      <c r="C3" s="9" t="n"/>
      <c r="D3" s="8" t="n"/>
      <c r="E3" s="8" t="n"/>
      <c r="F3" s="8" t="n"/>
      <c r="G3" s="8" t="n"/>
      <c r="H3" s="8" t="n"/>
      <c r="I3" s="8" t="n"/>
      <c r="J3" s="9" t="n"/>
      <c r="K3" s="8" t="n"/>
      <c r="L3" s="9" t="n"/>
      <c r="M3" s="8" t="n"/>
      <c r="N3" s="9" t="n"/>
      <c r="O3" s="8" t="n"/>
      <c r="P3" s="9" t="n"/>
      <c r="Q3" s="8" t="n"/>
      <c r="R3" s="9" t="n"/>
      <c r="S3" s="8" t="n"/>
      <c r="T3" s="9" t="n"/>
      <c r="U3" s="8" t="n"/>
      <c r="V3" s="9" t="n"/>
      <c r="W3" s="11" t="n"/>
      <c r="X3" s="12" t="n"/>
      <c r="Y3" s="8" t="n"/>
      <c r="Z3" s="9" t="n"/>
      <c r="AA3" s="8" t="n"/>
      <c r="AB3" s="8" t="n"/>
      <c r="AC3" s="8" t="n"/>
      <c r="AD3" s="9" t="n"/>
      <c r="AE3" s="8" t="n"/>
      <c r="AF3" s="9" t="n"/>
      <c r="AG3" s="8" t="n"/>
      <c r="AH3" s="9" t="n"/>
      <c r="AI3" s="8" t="n"/>
      <c r="AJ3" s="9" t="n"/>
      <c r="AK3" s="8" t="n"/>
      <c r="AL3" s="9" t="n"/>
      <c r="AM3" s="8" t="n"/>
      <c r="AN3" s="9" t="n"/>
      <c r="AO3" s="8" t="n"/>
      <c r="AP3" s="9" t="n"/>
      <c r="AQ3" s="8" t="n"/>
      <c r="AR3" s="338" t="n"/>
      <c r="AS3" s="9" t="n"/>
    </row>
    <row r="4" ht="15.75" customHeight="1">
      <c r="A4" s="8" t="n"/>
      <c r="B4" s="9" t="n"/>
      <c r="C4" s="9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144" t="inlineStr">
        <is>
          <t>PERIODO TRIBUTARIO</t>
        </is>
      </c>
      <c r="N4" s="339" t="n"/>
      <c r="O4" s="339" t="n"/>
      <c r="P4" s="339" t="n"/>
      <c r="Q4" s="339" t="n"/>
      <c r="R4" s="339" t="n"/>
      <c r="S4" s="339" t="n"/>
      <c r="T4" s="340" t="n"/>
      <c r="U4" s="8" t="n"/>
      <c r="V4" s="145" t="inlineStr">
        <is>
          <t>ROL UNICO TRIBUTARIO</t>
        </is>
      </c>
      <c r="W4" s="341" t="n"/>
      <c r="X4" s="341" t="n"/>
      <c r="Y4" s="341" t="n"/>
      <c r="Z4" s="341" t="n"/>
      <c r="AA4" s="341" t="n"/>
      <c r="AB4" s="341" t="n"/>
      <c r="AC4" s="341" t="n"/>
      <c r="AD4" s="341" t="n"/>
      <c r="AE4" s="341" t="n"/>
      <c r="AF4" s="341" t="n"/>
      <c r="AG4" s="341" t="n"/>
      <c r="AH4" s="341" t="n"/>
      <c r="AI4" s="341" t="n"/>
      <c r="AJ4" s="341" t="n"/>
      <c r="AK4" s="341" t="n"/>
      <c r="AL4" s="341" t="n"/>
      <c r="AM4" s="341" t="n"/>
      <c r="AN4" s="342" t="n"/>
      <c r="AO4" s="15" t="n"/>
      <c r="AP4" s="16" t="n"/>
      <c r="AQ4" s="145" t="inlineStr">
        <is>
          <t>FOLIO</t>
        </is>
      </c>
      <c r="AR4" s="343" t="n"/>
      <c r="AS4" s="9" t="n"/>
    </row>
    <row r="5" ht="15.7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146" t="n">
        <v>10</v>
      </c>
      <c r="N5" s="342" t="n"/>
      <c r="O5" s="146" t="inlineStr">
        <is>
          <t>Mes</t>
        </is>
      </c>
      <c r="P5" s="339" t="n"/>
      <c r="Q5" s="339" t="n"/>
      <c r="R5" s="339" t="n"/>
      <c r="S5" s="340" t="n"/>
      <c r="T5" s="146" t="inlineStr">
        <is>
          <t>Año</t>
        </is>
      </c>
      <c r="U5" s="8" t="n"/>
      <c r="V5" s="344" t="n"/>
      <c r="W5" s="345" t="n"/>
      <c r="X5" s="345" t="n"/>
      <c r="Y5" s="345" t="n"/>
      <c r="Z5" s="345" t="n"/>
      <c r="AA5" s="345" t="n"/>
      <c r="AB5" s="345" t="n"/>
      <c r="AC5" s="345" t="n"/>
      <c r="AD5" s="345" t="n"/>
      <c r="AE5" s="345" t="n"/>
      <c r="AF5" s="345" t="n"/>
      <c r="AG5" s="345" t="n"/>
      <c r="AH5" s="345" t="n"/>
      <c r="AI5" s="345" t="n"/>
      <c r="AJ5" s="345" t="n"/>
      <c r="AK5" s="345" t="n"/>
      <c r="AL5" s="345" t="n"/>
      <c r="AM5" s="345" t="n"/>
      <c r="AN5" s="346" t="n"/>
      <c r="AO5" s="15" t="n"/>
      <c r="AP5" s="16" t="n"/>
      <c r="AQ5" s="347" t="n"/>
      <c r="AR5" s="348" t="n"/>
      <c r="AS5" s="9" t="n"/>
    </row>
    <row r="6" ht="18" customHeight="1">
      <c r="A6" s="8" t="n"/>
      <c r="B6" s="9" t="n"/>
      <c r="C6" s="9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344" t="n"/>
      <c r="N6" s="346" t="n"/>
      <c r="O6" s="147" t="n"/>
      <c r="P6" s="349" t="n"/>
      <c r="Q6" s="349" t="n"/>
      <c r="R6" s="349" t="n"/>
      <c r="S6" s="350" t="n"/>
      <c r="T6" s="34" t="n">
        <v>2026</v>
      </c>
      <c r="U6" s="8" t="n"/>
      <c r="V6" s="148" t="inlineStr">
        <is>
          <t>08</t>
        </is>
      </c>
      <c r="W6" s="340" t="n"/>
      <c r="X6" s="149" t="n">
        <v>76123456</v>
      </c>
      <c r="Y6" s="349" t="n"/>
      <c r="Z6" s="349" t="n"/>
      <c r="AA6" s="349" t="n"/>
      <c r="AB6" s="349" t="n"/>
      <c r="AC6" s="349" t="n"/>
      <c r="AD6" s="349" t="n"/>
      <c r="AE6" s="349" t="n"/>
      <c r="AF6" s="349" t="n"/>
      <c r="AG6" s="349" t="n"/>
      <c r="AH6" s="349" t="n"/>
      <c r="AI6" s="349" t="n"/>
      <c r="AJ6" s="349" t="n"/>
      <c r="AK6" s="350" t="n"/>
      <c r="AL6" s="20" t="n"/>
      <c r="AM6" s="150">
        <f>IF(X6&gt;0,IF(AO6=1,"K",IF(AO6=0,"0",11-AO6)),"")</f>
        <v/>
      </c>
      <c r="AN6" s="340" t="n"/>
      <c r="AO6" s="21">
        <f>IF(X6&gt;0,IF(X6&gt;9999999,MOD((RIGHT(X6,1)*2+LEFT(RIGHT(X6,2),1)*3+LEFT(RIGHT(X6,3),1)*4+LEFT(RIGHT(X6,4),1)*5+LEFT(RIGHT(X6,5),1)*6+LEFT(RIGHT(X6,6),1)*7+LEFT(RIGHT(X6,7),1)*2+LEFT(RIGHT(X6,8),1)*3),11),MOD((RIGHT(X6,1)*2+LEFT(RIGHT(X6,2),1)*3+LEFT(RIGHT(X6,3),1)*4+LEFT(RIGHT(X6,4),1)*5+LEFT(RIGHT(X6,5),1)*6+LEFT(RIGHT(X6,6),1)*7+LEFT(RIGHT(X6,7),1)*2),11)),"")</f>
        <v/>
      </c>
      <c r="AP6" s="16" t="n"/>
      <c r="AQ6" s="148" t="inlineStr">
        <is>
          <t>07</t>
        </is>
      </c>
      <c r="AR6" s="348" t="n"/>
      <c r="AS6" s="9" t="n"/>
    </row>
    <row r="7" ht="7.5" customHeight="1">
      <c r="A7" s="8" t="n"/>
      <c r="B7" s="9" t="n"/>
      <c r="C7" s="9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11" t="n"/>
      <c r="X7" s="11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348" t="n"/>
      <c r="AS7" s="9" t="n"/>
    </row>
    <row r="8" ht="15.75" customHeight="1">
      <c r="A8" s="8" t="n"/>
      <c r="B8" s="162" t="inlineStr">
        <is>
          <t>DEBITOS Y VENTAS</t>
        </is>
      </c>
      <c r="C8" s="342" t="n"/>
      <c r="D8" s="144" t="inlineStr">
        <is>
          <t>IMPUESTO AL VALOR AGREGADO D.L.825/74</t>
        </is>
      </c>
      <c r="E8" s="339" t="n"/>
      <c r="F8" s="339" t="n"/>
      <c r="G8" s="339" t="n"/>
      <c r="H8" s="339" t="n"/>
      <c r="I8" s="339" t="n"/>
      <c r="J8" s="339" t="n"/>
      <c r="K8" s="339" t="n"/>
      <c r="L8" s="339" t="n"/>
      <c r="M8" s="339" t="n"/>
      <c r="N8" s="339" t="n"/>
      <c r="O8" s="339" t="n"/>
      <c r="P8" s="339" t="n"/>
      <c r="Q8" s="339" t="n"/>
      <c r="R8" s="339" t="n"/>
      <c r="S8" s="339" t="n"/>
      <c r="T8" s="339" t="n"/>
      <c r="U8" s="339" t="n"/>
      <c r="V8" s="340" t="n"/>
      <c r="W8" s="144" t="inlineStr">
        <is>
          <t>Cantidad de documentos</t>
        </is>
      </c>
      <c r="X8" s="339" t="n"/>
      <c r="Y8" s="339" t="n"/>
      <c r="Z8" s="339" t="n"/>
      <c r="AA8" s="339" t="n"/>
      <c r="AB8" s="339" t="n"/>
      <c r="AC8" s="339" t="n"/>
      <c r="AD8" s="339" t="n"/>
      <c r="AE8" s="339" t="n"/>
      <c r="AF8" s="339" t="n"/>
      <c r="AG8" s="339" t="n"/>
      <c r="AH8" s="339" t="n"/>
      <c r="AI8" s="339" t="n"/>
      <c r="AJ8" s="339" t="n"/>
      <c r="AK8" s="339" t="n"/>
      <c r="AL8" s="339" t="n"/>
      <c r="AM8" s="340" t="n"/>
      <c r="AN8" s="144" t="inlineStr">
        <is>
          <t>Monto Neto</t>
        </is>
      </c>
      <c r="AO8" s="339" t="n"/>
      <c r="AP8" s="339" t="n"/>
      <c r="AQ8" s="339" t="n"/>
      <c r="AR8" s="339" t="n"/>
      <c r="AS8" s="340" t="n"/>
    </row>
    <row r="9" ht="18" customHeight="1">
      <c r="A9" s="8" t="n"/>
      <c r="B9" s="351" t="n"/>
      <c r="C9" s="352" t="n"/>
      <c r="D9" s="146" t="n">
        <v>1</v>
      </c>
      <c r="E9" s="162" t="inlineStr">
        <is>
          <t>Ventas y/o Servicios Prestados</t>
        </is>
      </c>
      <c r="F9" s="163" t="inlineStr">
        <is>
          <t>No Genera Débito</t>
        </is>
      </c>
      <c r="G9" s="152" t="inlineStr">
        <is>
          <t>Exportaciones</t>
        </is>
      </c>
      <c r="H9" s="339" t="n"/>
      <c r="I9" s="339" t="n"/>
      <c r="J9" s="339" t="n"/>
      <c r="K9" s="339" t="n"/>
      <c r="L9" s="339" t="n"/>
      <c r="M9" s="339" t="n"/>
      <c r="N9" s="339" t="n"/>
      <c r="O9" s="339" t="n"/>
      <c r="P9" s="339" t="n"/>
      <c r="Q9" s="339" t="n"/>
      <c r="R9" s="339" t="n"/>
      <c r="S9" s="339" t="n"/>
      <c r="T9" s="339" t="n"/>
      <c r="U9" s="339" t="n"/>
      <c r="V9" s="340" t="n"/>
      <c r="W9" s="153" t="n">
        <v>585</v>
      </c>
      <c r="X9" s="340" t="n"/>
      <c r="Y9" s="154" t="n"/>
      <c r="Z9" s="349" t="n"/>
      <c r="AA9" s="349" t="n"/>
      <c r="AB9" s="349" t="n"/>
      <c r="AC9" s="349" t="n"/>
      <c r="AD9" s="349" t="n"/>
      <c r="AE9" s="349" t="n"/>
      <c r="AF9" s="349" t="n"/>
      <c r="AG9" s="349" t="n"/>
      <c r="AH9" s="349" t="n"/>
      <c r="AI9" s="349" t="n"/>
      <c r="AJ9" s="349" t="n"/>
      <c r="AK9" s="349" t="n"/>
      <c r="AL9" s="349" t="n"/>
      <c r="AM9" s="350" t="n"/>
      <c r="AN9" s="155" t="n">
        <v>20</v>
      </c>
      <c r="AO9" s="340" t="n"/>
      <c r="AP9" s="353" t="n"/>
      <c r="AQ9" s="349" t="n"/>
      <c r="AR9" s="350" t="n"/>
      <c r="AS9" s="354" t="n"/>
    </row>
    <row r="10" ht="18" customHeight="1">
      <c r="A10" s="8" t="n"/>
      <c r="B10" s="351" t="n"/>
      <c r="C10" s="352" t="n"/>
      <c r="D10" s="146" t="n">
        <v>2</v>
      </c>
      <c r="E10" s="355" t="n"/>
      <c r="F10" s="355" t="n"/>
      <c r="G10" s="152" t="inlineStr">
        <is>
          <t>Ventas y/o Servicios prestados Internos Exentos, o No Gravados</t>
        </is>
      </c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339" t="n"/>
      <c r="U10" s="339" t="n"/>
      <c r="V10" s="340" t="n"/>
      <c r="W10" s="153" t="n">
        <v>586</v>
      </c>
      <c r="X10" s="340" t="n"/>
      <c r="Y10" s="154" t="n"/>
      <c r="Z10" s="349" t="n"/>
      <c r="AA10" s="349" t="n"/>
      <c r="AB10" s="349" t="n"/>
      <c r="AC10" s="349" t="n"/>
      <c r="AD10" s="349" t="n"/>
      <c r="AE10" s="349" t="n"/>
      <c r="AF10" s="349" t="n"/>
      <c r="AG10" s="349" t="n"/>
      <c r="AH10" s="349" t="n"/>
      <c r="AI10" s="349" t="n"/>
      <c r="AJ10" s="349" t="n"/>
      <c r="AK10" s="349" t="n"/>
      <c r="AL10" s="349" t="n"/>
      <c r="AM10" s="350" t="n"/>
      <c r="AN10" s="155" t="n">
        <v>142</v>
      </c>
      <c r="AO10" s="340" t="n"/>
      <c r="AP10" s="353" t="n"/>
      <c r="AQ10" s="349" t="n"/>
      <c r="AR10" s="350" t="n"/>
      <c r="AS10" s="354" t="n"/>
    </row>
    <row r="11" ht="18" customHeight="1">
      <c r="A11" s="8" t="n"/>
      <c r="B11" s="351" t="n"/>
      <c r="C11" s="352" t="n"/>
      <c r="D11" s="146" t="n">
        <v>3</v>
      </c>
      <c r="E11" s="355" t="n"/>
      <c r="F11" s="355" t="n"/>
      <c r="G11" s="152" t="inlineStr">
        <is>
          <t>Ventas con retención sobre el margen de comercialización (contribuyentes retenidos</t>
        </is>
      </c>
      <c r="H11" s="339" t="n"/>
      <c r="I11" s="339" t="n"/>
      <c r="J11" s="339" t="n"/>
      <c r="K11" s="339" t="n"/>
      <c r="L11" s="339" t="n"/>
      <c r="M11" s="339" t="n"/>
      <c r="N11" s="339" t="n"/>
      <c r="O11" s="339" t="n"/>
      <c r="P11" s="339" t="n"/>
      <c r="Q11" s="339" t="n"/>
      <c r="R11" s="339" t="n"/>
      <c r="S11" s="339" t="n"/>
      <c r="T11" s="339" t="n"/>
      <c r="U11" s="339" t="n"/>
      <c r="V11" s="340" t="n"/>
      <c r="W11" s="153" t="n">
        <v>731</v>
      </c>
      <c r="X11" s="340" t="n"/>
      <c r="Y11" s="154" t="n"/>
      <c r="Z11" s="349" t="n"/>
      <c r="AA11" s="349" t="n"/>
      <c r="AB11" s="349" t="n"/>
      <c r="AC11" s="349" t="n"/>
      <c r="AD11" s="349" t="n"/>
      <c r="AE11" s="349" t="n"/>
      <c r="AF11" s="349" t="n"/>
      <c r="AG11" s="349" t="n"/>
      <c r="AH11" s="349" t="n"/>
      <c r="AI11" s="349" t="n"/>
      <c r="AJ11" s="349" t="n"/>
      <c r="AK11" s="349" t="n"/>
      <c r="AL11" s="349" t="n"/>
      <c r="AM11" s="350" t="n"/>
      <c r="AN11" s="155" t="n">
        <v>732</v>
      </c>
      <c r="AO11" s="340" t="n"/>
      <c r="AP11" s="353" t="n"/>
      <c r="AQ11" s="349" t="n"/>
      <c r="AR11" s="350" t="n"/>
      <c r="AS11" s="354" t="n"/>
    </row>
    <row r="12" ht="18" customHeight="1">
      <c r="A12" s="8" t="n"/>
      <c r="B12" s="351" t="n"/>
      <c r="C12" s="352" t="n"/>
      <c r="D12" s="146" t="n">
        <v>4</v>
      </c>
      <c r="E12" s="355" t="n"/>
      <c r="F12" s="355" t="n"/>
      <c r="G12" s="152" t="inlineStr">
        <is>
          <t>Ventas y/o Servicios prestados Exentos o No Gravados que no son del giro</t>
        </is>
      </c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339" t="n"/>
      <c r="U12" s="339" t="n"/>
      <c r="V12" s="340" t="n"/>
      <c r="W12" s="153" t="n">
        <v>714</v>
      </c>
      <c r="X12" s="340" t="n"/>
      <c r="Y12" s="154" t="n"/>
      <c r="Z12" s="349" t="n"/>
      <c r="AA12" s="349" t="n"/>
      <c r="AB12" s="349" t="n"/>
      <c r="AC12" s="349" t="n"/>
      <c r="AD12" s="349" t="n"/>
      <c r="AE12" s="349" t="n"/>
      <c r="AF12" s="349" t="n"/>
      <c r="AG12" s="349" t="n"/>
      <c r="AH12" s="349" t="n"/>
      <c r="AI12" s="349" t="n"/>
      <c r="AJ12" s="349" t="n"/>
      <c r="AK12" s="349" t="n"/>
      <c r="AL12" s="349" t="n"/>
      <c r="AM12" s="350" t="n"/>
      <c r="AN12" s="155" t="n">
        <v>715</v>
      </c>
      <c r="AO12" s="340" t="n"/>
      <c r="AP12" s="353" t="n"/>
      <c r="AQ12" s="349" t="n"/>
      <c r="AR12" s="350" t="n"/>
      <c r="AS12" s="354" t="n"/>
    </row>
    <row r="13" ht="18" customHeight="1">
      <c r="A13" s="8" t="n"/>
      <c r="B13" s="351" t="n"/>
      <c r="C13" s="352" t="n"/>
      <c r="D13" s="356" t="n">
        <v>5</v>
      </c>
      <c r="E13" s="357" t="n"/>
      <c r="F13" s="357" t="n"/>
      <c r="G13" s="358" t="inlineStr">
        <is>
          <t>Facturas de Compras recibidas con retención total (contribuyentes retenidos)</t>
        </is>
      </c>
      <c r="H13" s="359" t="n"/>
      <c r="I13" s="359" t="n"/>
      <c r="J13" s="359" t="n"/>
      <c r="K13" s="359" t="n"/>
      <c r="L13" s="359" t="n"/>
      <c r="M13" s="359" t="n"/>
      <c r="N13" s="359" t="n"/>
      <c r="O13" s="359" t="n"/>
      <c r="P13" s="359" t="n"/>
      <c r="Q13" s="359" t="n"/>
      <c r="R13" s="359" t="n"/>
      <c r="S13" s="359" t="n"/>
      <c r="T13" s="359" t="n"/>
      <c r="U13" s="359" t="n"/>
      <c r="V13" s="360" t="n"/>
      <c r="W13" s="361" t="n">
        <v>515</v>
      </c>
      <c r="X13" s="360" t="n"/>
      <c r="Y13" s="362" t="n"/>
      <c r="Z13" s="363" t="n"/>
      <c r="AA13" s="363" t="n"/>
      <c r="AB13" s="363" t="n"/>
      <c r="AC13" s="363" t="n"/>
      <c r="AD13" s="363" t="n"/>
      <c r="AE13" s="363" t="n"/>
      <c r="AF13" s="363" t="n"/>
      <c r="AG13" s="363" t="n"/>
      <c r="AH13" s="363" t="n"/>
      <c r="AI13" s="363" t="n"/>
      <c r="AJ13" s="363" t="n"/>
      <c r="AK13" s="363" t="n"/>
      <c r="AL13" s="363" t="n"/>
      <c r="AM13" s="364" t="n"/>
      <c r="AN13" s="356" t="n">
        <v>587</v>
      </c>
      <c r="AO13" s="360" t="n"/>
      <c r="AP13" s="365" t="n"/>
      <c r="AQ13" s="363" t="n"/>
      <c r="AR13" s="364" t="n"/>
      <c r="AS13" s="366" t="n"/>
    </row>
    <row r="14" ht="18" customHeight="1">
      <c r="A14" s="8" t="n"/>
      <c r="B14" s="351" t="n"/>
      <c r="C14" s="352" t="n"/>
      <c r="D14" s="356" t="n">
        <v>6</v>
      </c>
      <c r="E14" s="357" t="n"/>
      <c r="F14" s="367" t="n"/>
      <c r="G14" s="358" t="inlineStr">
        <is>
          <t>Facturas de Compras recibidas con retención parcial (Total neto según Línea Nº 14</t>
        </is>
      </c>
      <c r="H14" s="359" t="n"/>
      <c r="I14" s="359" t="n"/>
      <c r="J14" s="359" t="n"/>
      <c r="K14" s="359" t="n"/>
      <c r="L14" s="359" t="n"/>
      <c r="M14" s="359" t="n"/>
      <c r="N14" s="359" t="n"/>
      <c r="O14" s="359" t="n"/>
      <c r="P14" s="359" t="n"/>
      <c r="Q14" s="359" t="n"/>
      <c r="R14" s="359" t="n"/>
      <c r="S14" s="359" t="n"/>
      <c r="T14" s="359" t="n"/>
      <c r="U14" s="359" t="n"/>
      <c r="V14" s="360" t="n"/>
      <c r="W14" s="361" t="n"/>
      <c r="X14" s="360" t="n"/>
      <c r="Y14" s="362" t="n"/>
      <c r="Z14" s="363" t="n"/>
      <c r="AA14" s="363" t="n"/>
      <c r="AB14" s="363" t="n"/>
      <c r="AC14" s="363" t="n"/>
      <c r="AD14" s="363" t="n"/>
      <c r="AE14" s="363" t="n"/>
      <c r="AF14" s="363" t="n"/>
      <c r="AG14" s="363" t="n"/>
      <c r="AH14" s="363" t="n"/>
      <c r="AI14" s="363" t="n"/>
      <c r="AJ14" s="363" t="n"/>
      <c r="AK14" s="363" t="n"/>
      <c r="AL14" s="363" t="n"/>
      <c r="AM14" s="364" t="n"/>
      <c r="AN14" s="356" t="n">
        <v>720</v>
      </c>
      <c r="AO14" s="360" t="n"/>
      <c r="AP14" s="368" t="n"/>
      <c r="AQ14" s="363" t="n"/>
      <c r="AR14" s="364" t="n"/>
      <c r="AS14" s="366" t="n"/>
    </row>
    <row r="15" ht="15.75" customHeight="1">
      <c r="A15" s="8" t="n"/>
      <c r="B15" s="351" t="n"/>
      <c r="C15" s="352" t="n"/>
      <c r="D15" s="146" t="n"/>
      <c r="E15" s="355" t="n"/>
      <c r="F15" s="176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339" t="n"/>
      <c r="U15" s="339" t="n"/>
      <c r="V15" s="340" t="n"/>
      <c r="W15" s="144" t="inlineStr">
        <is>
          <t>Cantidad de documentos</t>
        </is>
      </c>
      <c r="X15" s="339" t="n"/>
      <c r="Y15" s="339" t="n"/>
      <c r="Z15" s="339" t="n"/>
      <c r="AA15" s="339" t="n"/>
      <c r="AB15" s="339" t="n"/>
      <c r="AC15" s="339" t="n"/>
      <c r="AD15" s="339" t="n"/>
      <c r="AE15" s="339" t="n"/>
      <c r="AF15" s="339" t="n"/>
      <c r="AG15" s="339" t="n"/>
      <c r="AH15" s="339" t="n"/>
      <c r="AI15" s="339" t="n"/>
      <c r="AJ15" s="339" t="n"/>
      <c r="AK15" s="339" t="n"/>
      <c r="AL15" s="339" t="n"/>
      <c r="AM15" s="340" t="n"/>
      <c r="AN15" s="144" t="inlineStr">
        <is>
          <t>Débitos</t>
        </is>
      </c>
      <c r="AO15" s="339" t="n"/>
      <c r="AP15" s="339" t="n"/>
      <c r="AQ15" s="339" t="n"/>
      <c r="AR15" s="339" t="n"/>
      <c r="AS15" s="340" t="n"/>
    </row>
    <row r="16" ht="18.75" customHeight="1">
      <c r="A16" s="8" t="n"/>
      <c r="B16" s="351" t="n"/>
      <c r="C16" s="352" t="n"/>
      <c r="D16" s="146" t="n">
        <v>7</v>
      </c>
      <c r="E16" s="355" t="n"/>
      <c r="F16" s="177" t="inlineStr">
        <is>
          <t>Genera Débito</t>
        </is>
      </c>
      <c r="G16" s="152" t="inlineStr">
        <is>
          <t>Facturas emitidas</t>
        </is>
      </c>
      <c r="H16" s="339" t="n"/>
      <c r="I16" s="339" t="n"/>
      <c r="J16" s="339" t="n"/>
      <c r="K16" s="339" t="n"/>
      <c r="L16" s="339" t="n"/>
      <c r="M16" s="339" t="n"/>
      <c r="N16" s="339" t="n"/>
      <c r="O16" s="339" t="n"/>
      <c r="P16" s="339" t="n"/>
      <c r="Q16" s="339" t="n"/>
      <c r="R16" s="339" t="n"/>
      <c r="S16" s="339" t="n"/>
      <c r="T16" s="339" t="n"/>
      <c r="U16" s="339" t="n"/>
      <c r="V16" s="340" t="n"/>
      <c r="W16" s="153" t="n">
        <v>503</v>
      </c>
      <c r="X16" s="340" t="n"/>
      <c r="Y16" s="369">
        <f>COUNT('L. VENTAS'!C6:C33)</f>
        <v/>
      </c>
      <c r="Z16" s="349" t="n"/>
      <c r="AA16" s="349" t="n"/>
      <c r="AB16" s="349" t="n"/>
      <c r="AC16" s="349" t="n"/>
      <c r="AD16" s="349" t="n"/>
      <c r="AE16" s="349" t="n"/>
      <c r="AF16" s="349" t="n"/>
      <c r="AG16" s="349" t="n"/>
      <c r="AH16" s="349" t="n"/>
      <c r="AI16" s="349" t="n"/>
      <c r="AJ16" s="349" t="n"/>
      <c r="AK16" s="349" t="n"/>
      <c r="AL16" s="349" t="n"/>
      <c r="AM16" s="350" t="n"/>
      <c r="AN16" s="155" t="n">
        <v>502</v>
      </c>
      <c r="AO16" s="340" t="n"/>
      <c r="AP16" s="370">
        <f>'L. VENTAS'!I34</f>
        <v/>
      </c>
      <c r="AQ16" s="349" t="n"/>
      <c r="AR16" s="350" t="n"/>
      <c r="AS16" s="89" t="inlineStr">
        <is>
          <t>+</t>
        </is>
      </c>
    </row>
    <row r="17" ht="18.75" customHeight="1">
      <c r="A17" s="8" t="n"/>
      <c r="B17" s="351" t="n"/>
      <c r="C17" s="352" t="n"/>
      <c r="D17" s="146" t="n">
        <v>8</v>
      </c>
      <c r="E17" s="355" t="n"/>
      <c r="F17" s="355" t="n"/>
      <c r="G17" s="152" t="inlineStr">
        <is>
          <t>Facturas y Notas de Débitos por ventas que no son del giro (activo fijo y otros)</t>
        </is>
      </c>
      <c r="H17" s="339" t="n"/>
      <c r="I17" s="339" t="n"/>
      <c r="J17" s="339" t="n"/>
      <c r="K17" s="339" t="n"/>
      <c r="L17" s="339" t="n"/>
      <c r="M17" s="339" t="n"/>
      <c r="N17" s="339" t="n"/>
      <c r="O17" s="339" t="n"/>
      <c r="P17" s="339" t="n"/>
      <c r="Q17" s="339" t="n"/>
      <c r="R17" s="339" t="n"/>
      <c r="S17" s="339" t="n"/>
      <c r="T17" s="339" t="n"/>
      <c r="U17" s="339" t="n"/>
      <c r="V17" s="340" t="n"/>
      <c r="W17" s="153" t="n">
        <v>716</v>
      </c>
      <c r="X17" s="340" t="n"/>
      <c r="Y17" s="369" t="n"/>
      <c r="Z17" s="349" t="n"/>
      <c r="AA17" s="349" t="n"/>
      <c r="AB17" s="349" t="n"/>
      <c r="AC17" s="349" t="n"/>
      <c r="AD17" s="349" t="n"/>
      <c r="AE17" s="349" t="n"/>
      <c r="AF17" s="349" t="n"/>
      <c r="AG17" s="349" t="n"/>
      <c r="AH17" s="349" t="n"/>
      <c r="AI17" s="349" t="n"/>
      <c r="AJ17" s="349" t="n"/>
      <c r="AK17" s="349" t="n"/>
      <c r="AL17" s="349" t="n"/>
      <c r="AM17" s="350" t="n"/>
      <c r="AN17" s="155" t="n">
        <v>717</v>
      </c>
      <c r="AO17" s="340" t="n"/>
      <c r="AP17" s="353" t="n"/>
      <c r="AQ17" s="349" t="n"/>
      <c r="AR17" s="350" t="n"/>
      <c r="AS17" s="89" t="inlineStr">
        <is>
          <t>+</t>
        </is>
      </c>
    </row>
    <row r="18" ht="18.75" customHeight="1">
      <c r="A18" s="8" t="n"/>
      <c r="B18" s="351" t="n"/>
      <c r="C18" s="352" t="n"/>
      <c r="D18" s="146" t="n">
        <v>9</v>
      </c>
      <c r="E18" s="355" t="n"/>
      <c r="F18" s="355" t="n"/>
      <c r="G18" s="152" t="inlineStr">
        <is>
          <t>Boletas</t>
        </is>
      </c>
      <c r="H18" s="339" t="n"/>
      <c r="I18" s="339" t="n"/>
      <c r="J18" s="339" t="n"/>
      <c r="K18" s="339" t="n"/>
      <c r="L18" s="339" t="n"/>
      <c r="M18" s="339" t="n"/>
      <c r="N18" s="339" t="n"/>
      <c r="O18" s="339" t="n"/>
      <c r="P18" s="339" t="n"/>
      <c r="Q18" s="339" t="n"/>
      <c r="R18" s="339" t="n"/>
      <c r="S18" s="339" t="n"/>
      <c r="T18" s="339" t="n"/>
      <c r="U18" s="339" t="n"/>
      <c r="V18" s="340" t="n"/>
      <c r="W18" s="153" t="n">
        <v>110</v>
      </c>
      <c r="X18" s="340" t="n"/>
      <c r="Y18" s="369" t="n"/>
      <c r="Z18" s="349" t="n"/>
      <c r="AA18" s="349" t="n"/>
      <c r="AB18" s="349" t="n"/>
      <c r="AC18" s="349" t="n"/>
      <c r="AD18" s="349" t="n"/>
      <c r="AE18" s="349" t="n"/>
      <c r="AF18" s="349" t="n"/>
      <c r="AG18" s="349" t="n"/>
      <c r="AH18" s="349" t="n"/>
      <c r="AI18" s="349" t="n"/>
      <c r="AJ18" s="349" t="n"/>
      <c r="AK18" s="349" t="n"/>
      <c r="AL18" s="349" t="n"/>
      <c r="AM18" s="350" t="n"/>
      <c r="AN18" s="155" t="n">
        <v>111</v>
      </c>
      <c r="AO18" s="340" t="n"/>
      <c r="AP18" s="353" t="n"/>
      <c r="AQ18" s="349" t="n"/>
      <c r="AR18" s="350" t="n"/>
      <c r="AS18" s="89" t="inlineStr">
        <is>
          <t>+</t>
        </is>
      </c>
    </row>
    <row r="19" ht="18.75" customHeight="1">
      <c r="A19" s="8" t="n"/>
      <c r="B19" s="351" t="n"/>
      <c r="C19" s="352" t="n"/>
      <c r="D19" s="146" t="n">
        <v>10</v>
      </c>
      <c r="E19" s="355" t="n"/>
      <c r="F19" s="355" t="n"/>
      <c r="G19" s="152" t="inlineStr">
        <is>
          <t>Notas de Débito emitidas</t>
        </is>
      </c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339" t="n"/>
      <c r="U19" s="339" t="n"/>
      <c r="V19" s="340" t="n"/>
      <c r="W19" s="153" t="n">
        <v>512</v>
      </c>
      <c r="X19" s="340" t="n"/>
      <c r="Y19" s="369" t="n"/>
      <c r="Z19" s="349" t="n"/>
      <c r="AA19" s="349" t="n"/>
      <c r="AB19" s="349" t="n"/>
      <c r="AC19" s="349" t="n"/>
      <c r="AD19" s="349" t="n"/>
      <c r="AE19" s="349" t="n"/>
      <c r="AF19" s="349" t="n"/>
      <c r="AG19" s="349" t="n"/>
      <c r="AH19" s="349" t="n"/>
      <c r="AI19" s="349" t="n"/>
      <c r="AJ19" s="349" t="n"/>
      <c r="AK19" s="349" t="n"/>
      <c r="AL19" s="349" t="n"/>
      <c r="AM19" s="350" t="n"/>
      <c r="AN19" s="155" t="n">
        <v>513</v>
      </c>
      <c r="AO19" s="340" t="n"/>
      <c r="AP19" s="353" t="n"/>
      <c r="AQ19" s="349" t="n"/>
      <c r="AR19" s="350" t="n"/>
      <c r="AS19" s="89" t="inlineStr">
        <is>
          <t>+</t>
        </is>
      </c>
    </row>
    <row r="20" ht="18.75" customHeight="1">
      <c r="A20" s="8" t="n"/>
      <c r="B20" s="351" t="n"/>
      <c r="C20" s="352" t="n"/>
      <c r="D20" s="146" t="n">
        <v>11</v>
      </c>
      <c r="E20" s="355" t="n"/>
      <c r="F20" s="355" t="n"/>
      <c r="G20" s="152" t="inlineStr">
        <is>
          <t>Notas de Crédito emitidas</t>
        </is>
      </c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339" t="n"/>
      <c r="U20" s="339" t="n"/>
      <c r="V20" s="340" t="n"/>
      <c r="W20" s="153" t="n">
        <v>509</v>
      </c>
      <c r="X20" s="340" t="n"/>
      <c r="Y20" s="369" t="n"/>
      <c r="Z20" s="349" t="n"/>
      <c r="AA20" s="349" t="n"/>
      <c r="AB20" s="349" t="n"/>
      <c r="AC20" s="349" t="n"/>
      <c r="AD20" s="349" t="n"/>
      <c r="AE20" s="349" t="n"/>
      <c r="AF20" s="349" t="n"/>
      <c r="AG20" s="349" t="n"/>
      <c r="AH20" s="349" t="n"/>
      <c r="AI20" s="349" t="n"/>
      <c r="AJ20" s="349" t="n"/>
      <c r="AK20" s="349" t="n"/>
      <c r="AL20" s="349" t="n"/>
      <c r="AM20" s="350" t="n"/>
      <c r="AN20" s="155" t="n">
        <v>510</v>
      </c>
      <c r="AO20" s="340" t="n"/>
      <c r="AP20" s="353" t="n"/>
      <c r="AQ20" s="349" t="n"/>
      <c r="AR20" s="350" t="n"/>
      <c r="AS20" s="89" t="inlineStr">
        <is>
          <t>-</t>
        </is>
      </c>
    </row>
    <row r="21" ht="18.75" customHeight="1">
      <c r="A21" s="8" t="n"/>
      <c r="B21" s="351" t="n"/>
      <c r="C21" s="352" t="n"/>
      <c r="D21" s="146" t="n">
        <v>12</v>
      </c>
      <c r="E21" s="355" t="n"/>
      <c r="F21" s="355" t="n"/>
      <c r="G21" s="152" t="inlineStr">
        <is>
          <t>Notas de Crédito emitidas por Vales de máquinas autorizadas por el Servicio</t>
        </is>
      </c>
      <c r="H21" s="339" t="n"/>
      <c r="I21" s="339" t="n"/>
      <c r="J21" s="339" t="n"/>
      <c r="K21" s="339" t="n"/>
      <c r="L21" s="339" t="n"/>
      <c r="M21" s="339" t="n"/>
      <c r="N21" s="339" t="n"/>
      <c r="O21" s="339" t="n"/>
      <c r="P21" s="339" t="n"/>
      <c r="Q21" s="339" t="n"/>
      <c r="R21" s="339" t="n"/>
      <c r="S21" s="339" t="n"/>
      <c r="T21" s="339" t="n"/>
      <c r="U21" s="339" t="n"/>
      <c r="V21" s="340" t="n"/>
      <c r="W21" s="153" t="n">
        <v>708</v>
      </c>
      <c r="X21" s="340" t="n"/>
      <c r="Y21" s="369" t="n"/>
      <c r="Z21" s="349" t="n"/>
      <c r="AA21" s="349" t="n"/>
      <c r="AB21" s="349" t="n"/>
      <c r="AC21" s="349" t="n"/>
      <c r="AD21" s="349" t="n"/>
      <c r="AE21" s="349" t="n"/>
      <c r="AF21" s="349" t="n"/>
      <c r="AG21" s="349" t="n"/>
      <c r="AH21" s="349" t="n"/>
      <c r="AI21" s="349" t="n"/>
      <c r="AJ21" s="349" t="n"/>
      <c r="AK21" s="349" t="n"/>
      <c r="AL21" s="349" t="n"/>
      <c r="AM21" s="350" t="n"/>
      <c r="AN21" s="155" t="n">
        <v>709</v>
      </c>
      <c r="AO21" s="340" t="n"/>
      <c r="AP21" s="353" t="n"/>
      <c r="AQ21" s="349" t="n"/>
      <c r="AR21" s="350" t="n"/>
      <c r="AS21" s="89" t="inlineStr">
        <is>
          <t>-</t>
        </is>
      </c>
    </row>
    <row r="22" ht="18.75" customHeight="1">
      <c r="A22" s="8" t="n"/>
      <c r="B22" s="351" t="n"/>
      <c r="C22" s="352" t="n"/>
      <c r="D22" s="146" t="n">
        <v>13</v>
      </c>
      <c r="E22" s="355" t="n"/>
      <c r="F22" s="355" t="n"/>
      <c r="G22" s="152" t="inlineStr">
        <is>
          <t>Notas de Crédito emitidas por ventas y servicios que no son del giro (activo fijo y</t>
        </is>
      </c>
      <c r="H22" s="339" t="n"/>
      <c r="I22" s="339" t="n"/>
      <c r="J22" s="339" t="n"/>
      <c r="K22" s="339" t="n"/>
      <c r="L22" s="339" t="n"/>
      <c r="M22" s="339" t="n"/>
      <c r="N22" s="339" t="n"/>
      <c r="O22" s="339" t="n"/>
      <c r="P22" s="339" t="n"/>
      <c r="Q22" s="339" t="n"/>
      <c r="R22" s="339" t="n"/>
      <c r="S22" s="339" t="n"/>
      <c r="T22" s="339" t="n"/>
      <c r="U22" s="339" t="n"/>
      <c r="V22" s="340" t="n"/>
      <c r="W22" s="153" t="n">
        <v>733</v>
      </c>
      <c r="X22" s="340" t="n"/>
      <c r="Y22" s="369" t="n"/>
      <c r="Z22" s="349" t="n"/>
      <c r="AA22" s="349" t="n"/>
      <c r="AB22" s="349" t="n"/>
      <c r="AC22" s="349" t="n"/>
      <c r="AD22" s="349" t="n"/>
      <c r="AE22" s="349" t="n"/>
      <c r="AF22" s="349" t="n"/>
      <c r="AG22" s="349" t="n"/>
      <c r="AH22" s="349" t="n"/>
      <c r="AI22" s="349" t="n"/>
      <c r="AJ22" s="349" t="n"/>
      <c r="AK22" s="349" t="n"/>
      <c r="AL22" s="349" t="n"/>
      <c r="AM22" s="350" t="n"/>
      <c r="AN22" s="155" t="n">
        <v>734</v>
      </c>
      <c r="AO22" s="340" t="n"/>
      <c r="AP22" s="353" t="n"/>
      <c r="AQ22" s="349" t="n"/>
      <c r="AR22" s="350" t="n"/>
      <c r="AS22" s="89" t="inlineStr">
        <is>
          <t>-</t>
        </is>
      </c>
    </row>
    <row r="23" ht="18.75" customHeight="1">
      <c r="A23" s="8" t="n"/>
      <c r="B23" s="351" t="n"/>
      <c r="C23" s="352" t="n"/>
      <c r="D23" s="356" t="n">
        <v>14</v>
      </c>
      <c r="E23" s="357" t="n"/>
      <c r="F23" s="357" t="n"/>
      <c r="G23" s="358" t="inlineStr">
        <is>
          <t>Facturas de Compras recibidas con retención parcial (contribuyentes retenidos)</t>
        </is>
      </c>
      <c r="H23" s="359" t="n"/>
      <c r="I23" s="359" t="n"/>
      <c r="J23" s="359" t="n"/>
      <c r="K23" s="359" t="n"/>
      <c r="L23" s="359" t="n"/>
      <c r="M23" s="359" t="n"/>
      <c r="N23" s="359" t="n"/>
      <c r="O23" s="359" t="n"/>
      <c r="P23" s="359" t="n"/>
      <c r="Q23" s="359" t="n"/>
      <c r="R23" s="359" t="n"/>
      <c r="S23" s="359" t="n"/>
      <c r="T23" s="359" t="n"/>
      <c r="U23" s="359" t="n"/>
      <c r="V23" s="360" t="n"/>
      <c r="W23" s="361" t="n">
        <v>516</v>
      </c>
      <c r="X23" s="360" t="n"/>
      <c r="Y23" s="371" t="n"/>
      <c r="Z23" s="363" t="n"/>
      <c r="AA23" s="363" t="n"/>
      <c r="AB23" s="363" t="n"/>
      <c r="AC23" s="363" t="n"/>
      <c r="AD23" s="363" t="n"/>
      <c r="AE23" s="363" t="n"/>
      <c r="AF23" s="363" t="n"/>
      <c r="AG23" s="363" t="n"/>
      <c r="AH23" s="363" t="n"/>
      <c r="AI23" s="363" t="n"/>
      <c r="AJ23" s="363" t="n"/>
      <c r="AK23" s="363" t="n"/>
      <c r="AL23" s="363" t="n"/>
      <c r="AM23" s="364" t="n"/>
      <c r="AN23" s="356" t="n">
        <v>517</v>
      </c>
      <c r="AO23" s="360" t="n"/>
      <c r="AP23" s="368" t="n"/>
      <c r="AQ23" s="363" t="n"/>
      <c r="AR23" s="364" t="n"/>
      <c r="AS23" s="372" t="inlineStr">
        <is>
          <t>+</t>
        </is>
      </c>
    </row>
    <row r="24" ht="18.75" customHeight="1">
      <c r="A24" s="8" t="n"/>
      <c r="B24" s="351" t="n"/>
      <c r="C24" s="352" t="n"/>
      <c r="D24" s="146" t="n">
        <v>15</v>
      </c>
      <c r="E24" s="347" t="n"/>
      <c r="F24" s="347" t="n"/>
      <c r="G24" s="152" t="inlineStr">
        <is>
          <t>Liquidación y Liquidaciones de Facturas</t>
        </is>
      </c>
      <c r="H24" s="339" t="n"/>
      <c r="I24" s="339" t="n"/>
      <c r="J24" s="339" t="n"/>
      <c r="K24" s="339" t="n"/>
      <c r="L24" s="339" t="n"/>
      <c r="M24" s="339" t="n"/>
      <c r="N24" s="339" t="n"/>
      <c r="O24" s="339" t="n"/>
      <c r="P24" s="339" t="n"/>
      <c r="Q24" s="339" t="n"/>
      <c r="R24" s="339" t="n"/>
      <c r="S24" s="339" t="n"/>
      <c r="T24" s="339" t="n"/>
      <c r="U24" s="339" t="n"/>
      <c r="V24" s="340" t="n"/>
      <c r="W24" s="153" t="n">
        <v>500</v>
      </c>
      <c r="X24" s="340" t="n"/>
      <c r="Y24" s="369" t="n"/>
      <c r="Z24" s="349" t="n"/>
      <c r="AA24" s="349" t="n"/>
      <c r="AB24" s="349" t="n"/>
      <c r="AC24" s="349" t="n"/>
      <c r="AD24" s="349" t="n"/>
      <c r="AE24" s="349" t="n"/>
      <c r="AF24" s="349" t="n"/>
      <c r="AG24" s="349" t="n"/>
      <c r="AH24" s="349" t="n"/>
      <c r="AI24" s="349" t="n"/>
      <c r="AJ24" s="349" t="n"/>
      <c r="AK24" s="349" t="n"/>
      <c r="AL24" s="349" t="n"/>
      <c r="AM24" s="350" t="n"/>
      <c r="AN24" s="155" t="n">
        <v>501</v>
      </c>
      <c r="AO24" s="340" t="n"/>
      <c r="AP24" s="353" t="n"/>
      <c r="AQ24" s="349" t="n"/>
      <c r="AR24" s="350" t="n"/>
      <c r="AS24" s="89" t="inlineStr">
        <is>
          <t>+</t>
        </is>
      </c>
    </row>
    <row r="25" ht="18.75" customHeight="1">
      <c r="A25" s="8" t="n"/>
      <c r="B25" s="351" t="n"/>
      <c r="C25" s="352" t="n"/>
      <c r="D25" s="146" t="n">
        <v>16</v>
      </c>
      <c r="E25" s="152" t="inlineStr">
        <is>
          <t>Adiciones al Débito Fiscal del mes, originadas en devoluciones excesivas registradas en otros períodos por Art. 27 bis</t>
        </is>
      </c>
      <c r="F25" s="339" t="n"/>
      <c r="G25" s="339" t="n"/>
      <c r="H25" s="339" t="n"/>
      <c r="I25" s="339" t="n"/>
      <c r="J25" s="339" t="n"/>
      <c r="K25" s="339" t="n"/>
      <c r="L25" s="339" t="n"/>
      <c r="M25" s="339" t="n"/>
      <c r="N25" s="339" t="n"/>
      <c r="O25" s="339" t="n"/>
      <c r="P25" s="339" t="n"/>
      <c r="Q25" s="339" t="n"/>
      <c r="R25" s="339" t="n"/>
      <c r="S25" s="339" t="n"/>
      <c r="T25" s="339" t="n"/>
      <c r="U25" s="339" t="n"/>
      <c r="V25" s="339" t="n"/>
      <c r="W25" s="339" t="n"/>
      <c r="X25" s="339" t="n"/>
      <c r="Y25" s="339" t="n"/>
      <c r="Z25" s="339" t="n"/>
      <c r="AA25" s="339" t="n"/>
      <c r="AB25" s="339" t="n"/>
      <c r="AC25" s="339" t="n"/>
      <c r="AD25" s="339" t="n"/>
      <c r="AE25" s="339" t="n"/>
      <c r="AF25" s="339" t="n"/>
      <c r="AG25" s="339" t="n"/>
      <c r="AH25" s="339" t="n"/>
      <c r="AI25" s="339" t="n"/>
      <c r="AJ25" s="339" t="n"/>
      <c r="AK25" s="339" t="n"/>
      <c r="AL25" s="339" t="n"/>
      <c r="AM25" s="340" t="n"/>
      <c r="AN25" s="155" t="n">
        <v>154</v>
      </c>
      <c r="AO25" s="340" t="n"/>
      <c r="AP25" s="353" t="n"/>
      <c r="AQ25" s="349" t="n"/>
      <c r="AR25" s="350" t="n"/>
      <c r="AS25" s="89" t="inlineStr">
        <is>
          <t>+</t>
        </is>
      </c>
    </row>
    <row r="26" ht="18.75" customHeight="1">
      <c r="A26" s="8" t="n"/>
      <c r="B26" s="351" t="n"/>
      <c r="C26" s="352" t="n"/>
      <c r="D26" s="146" t="n">
        <v>17</v>
      </c>
      <c r="E26" s="152" t="inlineStr">
        <is>
          <t>Restitución Adicional por proporción de operaciones exentas y/o no gravadas por concepto Art. 27 bis, inc.2º (Ley 19.738/01)</t>
        </is>
      </c>
      <c r="F26" s="339" t="n"/>
      <c r="G26" s="339" t="n"/>
      <c r="H26" s="339" t="n"/>
      <c r="I26" s="339" t="n"/>
      <c r="J26" s="339" t="n"/>
      <c r="K26" s="339" t="n"/>
      <c r="L26" s="339" t="n"/>
      <c r="M26" s="339" t="n"/>
      <c r="N26" s="339" t="n"/>
      <c r="O26" s="339" t="n"/>
      <c r="P26" s="339" t="n"/>
      <c r="Q26" s="339" t="n"/>
      <c r="R26" s="339" t="n"/>
      <c r="S26" s="339" t="n"/>
      <c r="T26" s="339" t="n"/>
      <c r="U26" s="339" t="n"/>
      <c r="V26" s="339" t="n"/>
      <c r="W26" s="339" t="n"/>
      <c r="X26" s="339" t="n"/>
      <c r="Y26" s="339" t="n"/>
      <c r="Z26" s="339" t="n"/>
      <c r="AA26" s="339" t="n"/>
      <c r="AB26" s="339" t="n"/>
      <c r="AC26" s="339" t="n"/>
      <c r="AD26" s="339" t="n"/>
      <c r="AE26" s="339" t="n"/>
      <c r="AF26" s="339" t="n"/>
      <c r="AG26" s="339" t="n"/>
      <c r="AH26" s="339" t="n"/>
      <c r="AI26" s="339" t="n"/>
      <c r="AJ26" s="339" t="n"/>
      <c r="AK26" s="339" t="n"/>
      <c r="AL26" s="339" t="n"/>
      <c r="AM26" s="340" t="n"/>
      <c r="AN26" s="155" t="n">
        <v>518</v>
      </c>
      <c r="AO26" s="340" t="n"/>
      <c r="AP26" s="353" t="n"/>
      <c r="AQ26" s="349" t="n"/>
      <c r="AR26" s="350" t="n"/>
      <c r="AS26" s="89" t="inlineStr">
        <is>
          <t>+</t>
        </is>
      </c>
    </row>
    <row r="27" ht="18.75" customHeight="1">
      <c r="A27" s="8" t="n"/>
      <c r="B27" s="351" t="n"/>
      <c r="C27" s="352" t="n"/>
      <c r="D27" s="146" t="n">
        <v>18</v>
      </c>
      <c r="E27" s="152" t="inlineStr">
        <is>
          <t>Reintegro del Impuesto de Timbres y Estampillas Art. 3 Ley Nº20.259</t>
        </is>
      </c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339" t="n"/>
      <c r="P27" s="339" t="n"/>
      <c r="Q27" s="339" t="n"/>
      <c r="R27" s="339" t="n"/>
      <c r="S27" s="339" t="n"/>
      <c r="T27" s="339" t="n"/>
      <c r="U27" s="339" t="n"/>
      <c r="V27" s="339" t="n"/>
      <c r="W27" s="339" t="n"/>
      <c r="X27" s="339" t="n"/>
      <c r="Y27" s="339" t="n"/>
      <c r="Z27" s="339" t="n"/>
      <c r="AA27" s="339" t="n"/>
      <c r="AB27" s="339" t="n"/>
      <c r="AC27" s="339" t="n"/>
      <c r="AD27" s="339" t="n"/>
      <c r="AE27" s="339" t="n"/>
      <c r="AF27" s="339" t="n"/>
      <c r="AG27" s="339" t="n"/>
      <c r="AH27" s="339" t="n"/>
      <c r="AI27" s="339" t="n"/>
      <c r="AJ27" s="339" t="n"/>
      <c r="AK27" s="339" t="n"/>
      <c r="AL27" s="339" t="n"/>
      <c r="AM27" s="340" t="n"/>
      <c r="AN27" s="155" t="n">
        <v>713</v>
      </c>
      <c r="AO27" s="340" t="n"/>
      <c r="AP27" s="353" t="n"/>
      <c r="AQ27" s="349" t="n"/>
      <c r="AR27" s="350" t="n"/>
      <c r="AS27" s="89" t="inlineStr">
        <is>
          <t>+</t>
        </is>
      </c>
    </row>
    <row r="28" ht="18.75" customHeight="1">
      <c r="A28" s="8" t="n"/>
      <c r="B28" s="351" t="n"/>
      <c r="C28" s="352" t="n"/>
      <c r="D28" s="146" t="n">
        <v>19</v>
      </c>
      <c r="E28" s="152" t="inlineStr">
        <is>
          <t>Adiciones al Débito por IEPD, Ley 20.493</t>
        </is>
      </c>
      <c r="F28" s="152" t="n"/>
      <c r="G28" s="152" t="n"/>
      <c r="H28" s="152" t="n"/>
      <c r="I28" s="152" t="n"/>
      <c r="J28" s="152" t="n"/>
      <c r="K28" s="152" t="n"/>
      <c r="L28" s="152" t="inlineStr">
        <is>
          <t>m3</t>
        </is>
      </c>
      <c r="M28" s="146" t="n">
        <v>738</v>
      </c>
      <c r="N28" s="339" t="n"/>
      <c r="O28" s="340" t="n"/>
      <c r="P28" s="146" t="n"/>
      <c r="Q28" s="339" t="n"/>
      <c r="R28" s="339" t="n"/>
      <c r="S28" s="340" t="n"/>
      <c r="T28" s="152" t="inlineStr">
        <is>
          <t>Base</t>
        </is>
      </c>
      <c r="U28" s="146" t="n">
        <v>739</v>
      </c>
      <c r="V28" s="340" t="n"/>
      <c r="W28" s="146" t="n"/>
      <c r="X28" s="339" t="n"/>
      <c r="Y28" s="339" t="n"/>
      <c r="Z28" s="339" t="n"/>
      <c r="AA28" s="339" t="n"/>
      <c r="AB28" s="340" t="n"/>
      <c r="AC28" s="152" t="n"/>
      <c r="AD28" s="152" t="inlineStr">
        <is>
          <t>Variable</t>
        </is>
      </c>
      <c r="AE28" s="152" t="n"/>
      <c r="AF28" s="152" t="n"/>
      <c r="AG28" s="152" t="n">
        <v>740</v>
      </c>
      <c r="AH28" s="146" t="n"/>
      <c r="AI28" s="339" t="n"/>
      <c r="AJ28" s="339" t="n"/>
      <c r="AK28" s="339" t="n"/>
      <c r="AL28" s="339" t="n"/>
      <c r="AM28" s="340" t="n"/>
      <c r="AN28" s="155" t="n">
        <v>741</v>
      </c>
      <c r="AO28" s="340" t="n"/>
      <c r="AP28" s="353" t="n"/>
      <c r="AQ28" s="349" t="n"/>
      <c r="AR28" s="350" t="n"/>
      <c r="AS28" s="89" t="inlineStr">
        <is>
          <t>+</t>
        </is>
      </c>
    </row>
    <row r="29" ht="18.75" customHeight="1">
      <c r="A29" s="8" t="n"/>
      <c r="B29" s="344" t="n"/>
      <c r="C29" s="346" t="n"/>
      <c r="D29" s="146" t="n">
        <v>20</v>
      </c>
      <c r="E29" s="201" t="inlineStr">
        <is>
          <t>TOTAL DEBITOS</t>
        </is>
      </c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339" t="n"/>
      <c r="U29" s="339" t="n"/>
      <c r="V29" s="339" t="n"/>
      <c r="W29" s="339" t="n"/>
      <c r="X29" s="339" t="n"/>
      <c r="Y29" s="339" t="n"/>
      <c r="Z29" s="339" t="n"/>
      <c r="AA29" s="339" t="n"/>
      <c r="AB29" s="339" t="n"/>
      <c r="AC29" s="339" t="n"/>
      <c r="AD29" s="339" t="n"/>
      <c r="AE29" s="339" t="n"/>
      <c r="AF29" s="339" t="n"/>
      <c r="AG29" s="339" t="n"/>
      <c r="AH29" s="339" t="n"/>
      <c r="AI29" s="339" t="n"/>
      <c r="AJ29" s="339" t="n"/>
      <c r="AK29" s="339" t="n"/>
      <c r="AL29" s="339" t="n"/>
      <c r="AM29" s="340" t="n"/>
      <c r="AN29" s="202" t="n">
        <v>538</v>
      </c>
      <c r="AO29" s="340" t="n"/>
      <c r="AP29" s="373">
        <f>AP16+AP17+AP18+AP19-AP20-AP21-AP22+AP23+AP24+AP25+AP26+AP27+AP28</f>
        <v/>
      </c>
      <c r="AQ29" s="339" t="n"/>
      <c r="AR29" s="340" t="n"/>
      <c r="AS29" s="25" t="inlineStr">
        <is>
          <t>=</t>
        </is>
      </c>
    </row>
    <row r="30" ht="10.5" customHeight="1">
      <c r="A30" s="8" t="n"/>
      <c r="B30" s="9" t="n"/>
      <c r="C30" s="9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11" t="n"/>
      <c r="X30" s="11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348" t="n"/>
      <c r="AS30" s="9" t="n"/>
    </row>
    <row r="31" ht="15.75" customHeight="1">
      <c r="A31" s="8" t="n"/>
      <c r="B31" s="374" t="inlineStr">
        <is>
          <t>CREDITOS Y COMPRAS</t>
        </is>
      </c>
      <c r="C31" s="342" t="n"/>
      <c r="D31" s="144" t="inlineStr">
        <is>
          <t>IMPUESTO AL VALOR AGREGADO D.L.825/74</t>
        </is>
      </c>
      <c r="E31" s="339" t="n"/>
      <c r="F31" s="339" t="n"/>
      <c r="G31" s="339" t="n"/>
      <c r="H31" s="339" t="n"/>
      <c r="I31" s="339" t="n"/>
      <c r="J31" s="339" t="n"/>
      <c r="K31" s="339" t="n"/>
      <c r="L31" s="339" t="n"/>
      <c r="M31" s="339" t="n"/>
      <c r="N31" s="339" t="n"/>
      <c r="O31" s="339" t="n"/>
      <c r="P31" s="339" t="n"/>
      <c r="Q31" s="339" t="n"/>
      <c r="R31" s="339" t="n"/>
      <c r="S31" s="339" t="n"/>
      <c r="T31" s="339" t="n"/>
      <c r="U31" s="339" t="n"/>
      <c r="V31" s="340" t="n"/>
      <c r="W31" s="144" t="inlineStr">
        <is>
          <t>Con Derecho a Crédito</t>
        </is>
      </c>
      <c r="X31" s="339" t="n"/>
      <c r="Y31" s="339" t="n"/>
      <c r="Z31" s="339" t="n"/>
      <c r="AA31" s="339" t="n"/>
      <c r="AB31" s="339" t="n"/>
      <c r="AC31" s="339" t="n"/>
      <c r="AD31" s="339" t="n"/>
      <c r="AE31" s="339" t="n"/>
      <c r="AF31" s="339" t="n"/>
      <c r="AG31" s="339" t="n"/>
      <c r="AH31" s="339" t="n"/>
      <c r="AI31" s="339" t="n"/>
      <c r="AJ31" s="339" t="n"/>
      <c r="AK31" s="339" t="n"/>
      <c r="AL31" s="339" t="n"/>
      <c r="AM31" s="340" t="n"/>
      <c r="AN31" s="144" t="inlineStr">
        <is>
          <t>Sin Derecho a Crédito</t>
        </is>
      </c>
      <c r="AO31" s="339" t="n"/>
      <c r="AP31" s="339" t="n"/>
      <c r="AQ31" s="339" t="n"/>
      <c r="AR31" s="339" t="n"/>
      <c r="AS31" s="340" t="n"/>
    </row>
    <row r="32" ht="18" customHeight="1">
      <c r="A32" s="8" t="n"/>
      <c r="B32" s="351" t="n"/>
      <c r="C32" s="352" t="n"/>
      <c r="D32" s="146" t="n">
        <v>21</v>
      </c>
      <c r="E32" s="162" t="inlineStr">
        <is>
          <t>Compras y/o Servicios Utilizados</t>
        </is>
      </c>
      <c r="F32" s="152" t="inlineStr">
        <is>
          <t>IVA por documentos electrónicos recibidos</t>
        </is>
      </c>
      <c r="G32" s="339" t="n"/>
      <c r="H32" s="339" t="n"/>
      <c r="I32" s="339" t="n"/>
      <c r="J32" s="339" t="n"/>
      <c r="K32" s="339" t="n"/>
      <c r="L32" s="339" t="n"/>
      <c r="M32" s="339" t="n"/>
      <c r="N32" s="339" t="n"/>
      <c r="O32" s="339" t="n"/>
      <c r="P32" s="339" t="n"/>
      <c r="Q32" s="339" t="n"/>
      <c r="R32" s="339" t="n"/>
      <c r="S32" s="339" t="n"/>
      <c r="T32" s="339" t="n"/>
      <c r="U32" s="339" t="n"/>
      <c r="V32" s="340" t="n"/>
      <c r="W32" s="153" t="n">
        <v>511</v>
      </c>
      <c r="X32" s="340" t="n"/>
      <c r="Y32" s="375" t="n"/>
      <c r="Z32" s="349" t="n"/>
      <c r="AA32" s="349" t="n"/>
      <c r="AB32" s="349" t="n"/>
      <c r="AC32" s="349" t="n"/>
      <c r="AD32" s="349" t="n"/>
      <c r="AE32" s="349" t="n"/>
      <c r="AF32" s="349" t="n"/>
      <c r="AG32" s="349" t="n"/>
      <c r="AH32" s="349" t="n"/>
      <c r="AI32" s="349" t="n"/>
      <c r="AJ32" s="349" t="n"/>
      <c r="AK32" s="349" t="n"/>
      <c r="AL32" s="349" t="n"/>
      <c r="AM32" s="350" t="n"/>
      <c r="AN32" s="155" t="n">
        <v>514</v>
      </c>
      <c r="AO32" s="340" t="n"/>
      <c r="AP32" s="353" t="n"/>
      <c r="AQ32" s="349" t="n"/>
      <c r="AR32" s="350" t="n"/>
      <c r="AS32" s="354" t="n"/>
    </row>
    <row r="33" ht="15.75" customHeight="1">
      <c r="A33" s="8" t="n"/>
      <c r="B33" s="351" t="n"/>
      <c r="C33" s="352" t="n"/>
      <c r="D33" s="146" t="n"/>
      <c r="E33" s="355" t="n"/>
      <c r="F33" s="176" t="n"/>
      <c r="G33" s="339" t="n"/>
      <c r="H33" s="339" t="n"/>
      <c r="I33" s="339" t="n"/>
      <c r="J33" s="339" t="n"/>
      <c r="K33" s="339" t="n"/>
      <c r="L33" s="339" t="n"/>
      <c r="M33" s="339" t="n"/>
      <c r="N33" s="339" t="n"/>
      <c r="O33" s="339" t="n"/>
      <c r="P33" s="339" t="n"/>
      <c r="Q33" s="339" t="n"/>
      <c r="R33" s="339" t="n"/>
      <c r="S33" s="339" t="n"/>
      <c r="T33" s="339" t="n"/>
      <c r="U33" s="339" t="n"/>
      <c r="V33" s="340" t="n"/>
      <c r="W33" s="144" t="inlineStr">
        <is>
          <t>Cantidad de documentos</t>
        </is>
      </c>
      <c r="X33" s="339" t="n"/>
      <c r="Y33" s="339" t="n"/>
      <c r="Z33" s="339" t="n"/>
      <c r="AA33" s="339" t="n"/>
      <c r="AB33" s="339" t="n"/>
      <c r="AC33" s="339" t="n"/>
      <c r="AD33" s="339" t="n"/>
      <c r="AE33" s="339" t="n"/>
      <c r="AF33" s="339" t="n"/>
      <c r="AG33" s="339" t="n"/>
      <c r="AH33" s="339" t="n"/>
      <c r="AI33" s="339" t="n"/>
      <c r="AJ33" s="339" t="n"/>
      <c r="AK33" s="339" t="n"/>
      <c r="AL33" s="339" t="n"/>
      <c r="AM33" s="340" t="n"/>
      <c r="AN33" s="144" t="inlineStr">
        <is>
          <t>Monto Neto</t>
        </is>
      </c>
      <c r="AO33" s="339" t="n"/>
      <c r="AP33" s="339" t="n"/>
      <c r="AQ33" s="339" t="n"/>
      <c r="AR33" s="339" t="n"/>
      <c r="AS33" s="340" t="n"/>
    </row>
    <row r="34" ht="18" customHeight="1">
      <c r="A34" s="8" t="n"/>
      <c r="B34" s="351" t="n"/>
      <c r="C34" s="352" t="n"/>
      <c r="D34" s="146" t="n">
        <v>22</v>
      </c>
      <c r="E34" s="355" t="n"/>
      <c r="F34" s="204" t="inlineStr">
        <is>
          <t>Sin Derecho a Credito Fiscal</t>
        </is>
      </c>
      <c r="G34" s="342" t="n"/>
      <c r="H34" s="152" t="inlineStr">
        <is>
          <t>Internas afectas</t>
        </is>
      </c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339" t="n"/>
      <c r="U34" s="339" t="n"/>
      <c r="V34" s="340" t="n"/>
      <c r="W34" s="153" t="n">
        <v>564</v>
      </c>
      <c r="X34" s="340" t="n"/>
      <c r="Y34" s="369" t="n"/>
      <c r="Z34" s="349" t="n"/>
      <c r="AA34" s="349" t="n"/>
      <c r="AB34" s="349" t="n"/>
      <c r="AC34" s="349" t="n"/>
      <c r="AD34" s="349" t="n"/>
      <c r="AE34" s="349" t="n"/>
      <c r="AF34" s="349" t="n"/>
      <c r="AG34" s="349" t="n"/>
      <c r="AH34" s="349" t="n"/>
      <c r="AI34" s="349" t="n"/>
      <c r="AJ34" s="349" t="n"/>
      <c r="AK34" s="349" t="n"/>
      <c r="AL34" s="349" t="n"/>
      <c r="AM34" s="350" t="n"/>
      <c r="AN34" s="155" t="n">
        <v>521</v>
      </c>
      <c r="AO34" s="340" t="n"/>
      <c r="AP34" s="353" t="n"/>
      <c r="AQ34" s="349" t="n"/>
      <c r="AR34" s="350" t="n"/>
      <c r="AS34" s="146" t="n"/>
    </row>
    <row r="35" ht="18" customHeight="1">
      <c r="A35" s="8" t="n"/>
      <c r="B35" s="351" t="n"/>
      <c r="C35" s="352" t="n"/>
      <c r="D35" s="146" t="n">
        <v>23</v>
      </c>
      <c r="E35" s="355" t="n"/>
      <c r="F35" s="351" t="n"/>
      <c r="G35" s="352" t="n"/>
      <c r="H35" s="152" t="inlineStr">
        <is>
          <t>Importaciones</t>
        </is>
      </c>
      <c r="I35" s="339" t="n"/>
      <c r="J35" s="339" t="n"/>
      <c r="K35" s="339" t="n"/>
      <c r="L35" s="339" t="n"/>
      <c r="M35" s="339" t="n"/>
      <c r="N35" s="339" t="n"/>
      <c r="O35" s="339" t="n"/>
      <c r="P35" s="339" t="n"/>
      <c r="Q35" s="339" t="n"/>
      <c r="R35" s="339" t="n"/>
      <c r="S35" s="339" t="n"/>
      <c r="T35" s="339" t="n"/>
      <c r="U35" s="339" t="n"/>
      <c r="V35" s="340" t="n"/>
      <c r="W35" s="153" t="n">
        <v>566</v>
      </c>
      <c r="X35" s="340" t="n"/>
      <c r="Y35" s="369" t="n"/>
      <c r="Z35" s="349" t="n"/>
      <c r="AA35" s="349" t="n"/>
      <c r="AB35" s="349" t="n"/>
      <c r="AC35" s="349" t="n"/>
      <c r="AD35" s="349" t="n"/>
      <c r="AE35" s="349" t="n"/>
      <c r="AF35" s="349" t="n"/>
      <c r="AG35" s="349" t="n"/>
      <c r="AH35" s="349" t="n"/>
      <c r="AI35" s="349" t="n"/>
      <c r="AJ35" s="349" t="n"/>
      <c r="AK35" s="349" t="n"/>
      <c r="AL35" s="349" t="n"/>
      <c r="AM35" s="350" t="n"/>
      <c r="AN35" s="155" t="n">
        <v>560</v>
      </c>
      <c r="AO35" s="340" t="n"/>
      <c r="AP35" s="353" t="n"/>
      <c r="AQ35" s="349" t="n"/>
      <c r="AR35" s="350" t="n"/>
      <c r="AS35" s="146" t="n"/>
    </row>
    <row r="36" ht="18" customHeight="1">
      <c r="A36" s="8" t="n"/>
      <c r="B36" s="351" t="n"/>
      <c r="C36" s="352" t="n"/>
      <c r="D36" s="146" t="n">
        <v>24</v>
      </c>
      <c r="E36" s="355" t="n"/>
      <c r="F36" s="344" t="n"/>
      <c r="G36" s="346" t="n"/>
      <c r="H36" s="152" t="inlineStr">
        <is>
          <t>Internas exentas, o no gravadas</t>
        </is>
      </c>
      <c r="I36" s="339" t="n"/>
      <c r="J36" s="339" t="n"/>
      <c r="K36" s="339" t="n"/>
      <c r="L36" s="339" t="n"/>
      <c r="M36" s="339" t="n"/>
      <c r="N36" s="339" t="n"/>
      <c r="O36" s="339" t="n"/>
      <c r="P36" s="339" t="n"/>
      <c r="Q36" s="339" t="n"/>
      <c r="R36" s="339" t="n"/>
      <c r="S36" s="339" t="n"/>
      <c r="T36" s="339" t="n"/>
      <c r="U36" s="339" t="n"/>
      <c r="V36" s="340" t="n"/>
      <c r="W36" s="153" t="n">
        <v>584</v>
      </c>
      <c r="X36" s="340" t="n"/>
      <c r="Y36" s="369" t="n"/>
      <c r="Z36" s="349" t="n"/>
      <c r="AA36" s="349" t="n"/>
      <c r="AB36" s="349" t="n"/>
      <c r="AC36" s="349" t="n"/>
      <c r="AD36" s="349" t="n"/>
      <c r="AE36" s="349" t="n"/>
      <c r="AF36" s="349" t="n"/>
      <c r="AG36" s="349" t="n"/>
      <c r="AH36" s="349" t="n"/>
      <c r="AI36" s="349" t="n"/>
      <c r="AJ36" s="349" t="n"/>
      <c r="AK36" s="349" t="n"/>
      <c r="AL36" s="349" t="n"/>
      <c r="AM36" s="350" t="n"/>
      <c r="AN36" s="155" t="n">
        <v>562</v>
      </c>
      <c r="AO36" s="340" t="n"/>
      <c r="AP36" s="353" t="n"/>
      <c r="AQ36" s="349" t="n"/>
      <c r="AR36" s="350" t="n"/>
      <c r="AS36" s="146" t="n"/>
    </row>
    <row r="37" ht="15.75" customHeight="1">
      <c r="A37" s="8" t="n"/>
      <c r="B37" s="351" t="n"/>
      <c r="C37" s="352" t="n"/>
      <c r="D37" s="146" t="n"/>
      <c r="E37" s="355" t="n"/>
      <c r="F37" s="176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339" t="n"/>
      <c r="U37" s="339" t="n"/>
      <c r="V37" s="340" t="n"/>
      <c r="W37" s="144" t="inlineStr">
        <is>
          <t>Cantidad de documentos</t>
        </is>
      </c>
      <c r="X37" s="339" t="n"/>
      <c r="Y37" s="339" t="n"/>
      <c r="Z37" s="339" t="n"/>
      <c r="AA37" s="339" t="n"/>
      <c r="AB37" s="339" t="n"/>
      <c r="AC37" s="339" t="n"/>
      <c r="AD37" s="339" t="n"/>
      <c r="AE37" s="339" t="n"/>
      <c r="AF37" s="339" t="n"/>
      <c r="AG37" s="339" t="n"/>
      <c r="AH37" s="339" t="n"/>
      <c r="AI37" s="339" t="n"/>
      <c r="AJ37" s="339" t="n"/>
      <c r="AK37" s="339" t="n"/>
      <c r="AL37" s="339" t="n"/>
      <c r="AM37" s="340" t="n"/>
      <c r="AN37" s="144" t="inlineStr">
        <is>
          <t>Crédito, Recuperación y Reintegro</t>
        </is>
      </c>
      <c r="AO37" s="339" t="n"/>
      <c r="AP37" s="339" t="n"/>
      <c r="AQ37" s="339" t="n"/>
      <c r="AR37" s="339" t="n"/>
      <c r="AS37" s="340" t="n"/>
    </row>
    <row r="38" ht="18.75" customHeight="1">
      <c r="A38" s="8" t="n"/>
      <c r="B38" s="351" t="n"/>
      <c r="C38" s="352" t="n"/>
      <c r="D38" s="356" t="n">
        <v>25</v>
      </c>
      <c r="E38" s="357" t="n"/>
      <c r="F38" s="376" t="inlineStr">
        <is>
          <t>Con Derecho a Crédito Fiscal</t>
        </is>
      </c>
      <c r="G38" s="376" t="inlineStr">
        <is>
          <t>Internas</t>
        </is>
      </c>
      <c r="H38" s="358" t="inlineStr">
        <is>
          <t>Facturas recibidas del giro y Facturas de compra emitidas</t>
        </is>
      </c>
      <c r="I38" s="359" t="n"/>
      <c r="J38" s="359" t="n"/>
      <c r="K38" s="359" t="n"/>
      <c r="L38" s="359" t="n"/>
      <c r="M38" s="359" t="n"/>
      <c r="N38" s="359" t="n"/>
      <c r="O38" s="359" t="n"/>
      <c r="P38" s="359" t="n"/>
      <c r="Q38" s="359" t="n"/>
      <c r="R38" s="359" t="n"/>
      <c r="S38" s="359" t="n"/>
      <c r="T38" s="359" t="n"/>
      <c r="U38" s="359" t="n"/>
      <c r="V38" s="360" t="n"/>
      <c r="W38" s="361" t="n">
        <v>519</v>
      </c>
      <c r="X38" s="360" t="n"/>
      <c r="Y38" s="371">
        <f>COUNT('L. COMPRAS'!B7:B30)</f>
        <v/>
      </c>
      <c r="Z38" s="363" t="n"/>
      <c r="AA38" s="363" t="n"/>
      <c r="AB38" s="363" t="n"/>
      <c r="AC38" s="363" t="n"/>
      <c r="AD38" s="363" t="n"/>
      <c r="AE38" s="363" t="n"/>
      <c r="AF38" s="363" t="n"/>
      <c r="AG38" s="363" t="n"/>
      <c r="AH38" s="363" t="n"/>
      <c r="AI38" s="363" t="n"/>
      <c r="AJ38" s="363" t="n"/>
      <c r="AK38" s="363" t="n"/>
      <c r="AL38" s="363" t="n"/>
      <c r="AM38" s="364" t="n"/>
      <c r="AN38" s="356" t="n">
        <v>520</v>
      </c>
      <c r="AO38" s="360" t="n"/>
      <c r="AP38" s="377">
        <f>'L. COMPRAS'!I31</f>
        <v/>
      </c>
      <c r="AQ38" s="363" t="n"/>
      <c r="AR38" s="364" t="n"/>
      <c r="AS38" s="372" t="inlineStr">
        <is>
          <t>+</t>
        </is>
      </c>
    </row>
    <row r="39" ht="18.75" customHeight="1">
      <c r="A39" s="8" t="n"/>
      <c r="B39" s="351" t="n"/>
      <c r="C39" s="352" t="n"/>
      <c r="D39" s="146" t="n">
        <v>26</v>
      </c>
      <c r="E39" s="355" t="n"/>
      <c r="F39" s="355" t="n"/>
      <c r="G39" s="355" t="n"/>
      <c r="H39" s="378" t="inlineStr">
        <is>
          <t>Facturas activo fijo</t>
        </is>
      </c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339" t="n"/>
      <c r="U39" s="339" t="n"/>
      <c r="V39" s="340" t="n"/>
      <c r="W39" s="153" t="n">
        <v>524</v>
      </c>
      <c r="X39" s="340" t="n"/>
      <c r="Y39" s="379" t="n"/>
      <c r="Z39" s="349" t="n"/>
      <c r="AA39" s="349" t="n"/>
      <c r="AB39" s="349" t="n"/>
      <c r="AC39" s="349" t="n"/>
      <c r="AD39" s="349" t="n"/>
      <c r="AE39" s="349" t="n"/>
      <c r="AF39" s="349" t="n"/>
      <c r="AG39" s="349" t="n"/>
      <c r="AH39" s="349" t="n"/>
      <c r="AI39" s="349" t="n"/>
      <c r="AJ39" s="349" t="n"/>
      <c r="AK39" s="349" t="n"/>
      <c r="AL39" s="349" t="n"/>
      <c r="AM39" s="350" t="n"/>
      <c r="AN39" s="155" t="n">
        <v>525</v>
      </c>
      <c r="AO39" s="340" t="n"/>
      <c r="AP39" s="380" t="n"/>
      <c r="AQ39" s="349" t="n"/>
      <c r="AR39" s="350" t="n"/>
      <c r="AS39" s="89" t="inlineStr">
        <is>
          <t>+</t>
        </is>
      </c>
    </row>
    <row r="40" ht="18.75" customHeight="1">
      <c r="A40" s="8" t="n"/>
      <c r="B40" s="351" t="n"/>
      <c r="C40" s="352" t="n"/>
      <c r="D40" s="146" t="n">
        <v>27</v>
      </c>
      <c r="E40" s="355" t="n"/>
      <c r="F40" s="355" t="n"/>
      <c r="G40" s="355" t="n"/>
      <c r="H40" s="152" t="inlineStr">
        <is>
          <t>Notas de Crédito recibidas</t>
        </is>
      </c>
      <c r="I40" s="339" t="n"/>
      <c r="J40" s="339" t="n"/>
      <c r="K40" s="339" t="n"/>
      <c r="L40" s="339" t="n"/>
      <c r="M40" s="339" t="n"/>
      <c r="N40" s="339" t="n"/>
      <c r="O40" s="339" t="n"/>
      <c r="P40" s="339" t="n"/>
      <c r="Q40" s="339" t="n"/>
      <c r="R40" s="339" t="n"/>
      <c r="S40" s="339" t="n"/>
      <c r="T40" s="339" t="n"/>
      <c r="U40" s="339" t="n"/>
      <c r="V40" s="340" t="n"/>
      <c r="W40" s="153" t="n">
        <v>527</v>
      </c>
      <c r="X40" s="340" t="n"/>
      <c r="Y40" s="369" t="n"/>
      <c r="Z40" s="349" t="n"/>
      <c r="AA40" s="349" t="n"/>
      <c r="AB40" s="349" t="n"/>
      <c r="AC40" s="349" t="n"/>
      <c r="AD40" s="349" t="n"/>
      <c r="AE40" s="349" t="n"/>
      <c r="AF40" s="349" t="n"/>
      <c r="AG40" s="349" t="n"/>
      <c r="AH40" s="349" t="n"/>
      <c r="AI40" s="349" t="n"/>
      <c r="AJ40" s="349" t="n"/>
      <c r="AK40" s="349" t="n"/>
      <c r="AL40" s="349" t="n"/>
      <c r="AM40" s="350" t="n"/>
      <c r="AN40" s="155" t="n">
        <v>528</v>
      </c>
      <c r="AO40" s="340" t="n"/>
      <c r="AP40" s="353" t="n"/>
      <c r="AQ40" s="349" t="n"/>
      <c r="AR40" s="350" t="n"/>
      <c r="AS40" s="89" t="inlineStr">
        <is>
          <t>-</t>
        </is>
      </c>
    </row>
    <row r="41" ht="18.75" customHeight="1">
      <c r="A41" s="8" t="n"/>
      <c r="B41" s="351" t="n"/>
      <c r="C41" s="352" t="n"/>
      <c r="D41" s="146" t="n">
        <v>28</v>
      </c>
      <c r="E41" s="355" t="n"/>
      <c r="F41" s="355" t="n"/>
      <c r="G41" s="347" t="n"/>
      <c r="H41" s="378" t="inlineStr">
        <is>
          <t>Notas de Débito recibidas</t>
        </is>
      </c>
      <c r="I41" s="339" t="n"/>
      <c r="J41" s="339" t="n"/>
      <c r="K41" s="339" t="n"/>
      <c r="L41" s="339" t="n"/>
      <c r="M41" s="339" t="n"/>
      <c r="N41" s="339" t="n"/>
      <c r="O41" s="339" t="n"/>
      <c r="P41" s="339" t="n"/>
      <c r="Q41" s="339" t="n"/>
      <c r="R41" s="339" t="n"/>
      <c r="S41" s="339" t="n"/>
      <c r="T41" s="339" t="n"/>
      <c r="U41" s="339" t="n"/>
      <c r="V41" s="340" t="n"/>
      <c r="W41" s="153" t="n">
        <v>531</v>
      </c>
      <c r="X41" s="340" t="n"/>
      <c r="Y41" s="379" t="n"/>
      <c r="Z41" s="349" t="n"/>
      <c r="AA41" s="349" t="n"/>
      <c r="AB41" s="349" t="n"/>
      <c r="AC41" s="349" t="n"/>
      <c r="AD41" s="349" t="n"/>
      <c r="AE41" s="349" t="n"/>
      <c r="AF41" s="349" t="n"/>
      <c r="AG41" s="349" t="n"/>
      <c r="AH41" s="349" t="n"/>
      <c r="AI41" s="349" t="n"/>
      <c r="AJ41" s="349" t="n"/>
      <c r="AK41" s="349" t="n"/>
      <c r="AL41" s="349" t="n"/>
      <c r="AM41" s="350" t="n"/>
      <c r="AN41" s="155" t="n">
        <v>532</v>
      </c>
      <c r="AO41" s="340" t="n"/>
      <c r="AP41" s="353" t="n"/>
      <c r="AQ41" s="349" t="n"/>
      <c r="AR41" s="350" t="n"/>
      <c r="AS41" s="89" t="inlineStr">
        <is>
          <t>+</t>
        </is>
      </c>
    </row>
    <row r="42" ht="18.75" customHeight="1">
      <c r="A42" s="8" t="n"/>
      <c r="B42" s="351" t="n"/>
      <c r="C42" s="352" t="n"/>
      <c r="D42" s="146" t="n">
        <v>29</v>
      </c>
      <c r="E42" s="355" t="n"/>
      <c r="F42" s="355" t="n"/>
      <c r="G42" s="381" t="inlineStr">
        <is>
          <t>Impor-tación</t>
        </is>
      </c>
      <c r="H42" s="152" t="inlineStr">
        <is>
          <t>Declaraciones de Ingreso (DIN) importaciones del giro</t>
        </is>
      </c>
      <c r="I42" s="339" t="n"/>
      <c r="J42" s="339" t="n"/>
      <c r="K42" s="339" t="n"/>
      <c r="L42" s="339" t="n"/>
      <c r="M42" s="339" t="n"/>
      <c r="N42" s="339" t="n"/>
      <c r="O42" s="339" t="n"/>
      <c r="P42" s="339" t="n"/>
      <c r="Q42" s="339" t="n"/>
      <c r="R42" s="339" t="n"/>
      <c r="S42" s="339" t="n"/>
      <c r="T42" s="339" t="n"/>
      <c r="U42" s="339" t="n"/>
      <c r="V42" s="340" t="n"/>
      <c r="W42" s="153" t="n">
        <v>534</v>
      </c>
      <c r="X42" s="340" t="n"/>
      <c r="Y42" s="369" t="n"/>
      <c r="Z42" s="349" t="n"/>
      <c r="AA42" s="349" t="n"/>
      <c r="AB42" s="349" t="n"/>
      <c r="AC42" s="349" t="n"/>
      <c r="AD42" s="349" t="n"/>
      <c r="AE42" s="349" t="n"/>
      <c r="AF42" s="349" t="n"/>
      <c r="AG42" s="349" t="n"/>
      <c r="AH42" s="349" t="n"/>
      <c r="AI42" s="349" t="n"/>
      <c r="AJ42" s="349" t="n"/>
      <c r="AK42" s="349" t="n"/>
      <c r="AL42" s="349" t="n"/>
      <c r="AM42" s="350" t="n"/>
      <c r="AN42" s="155" t="n">
        <v>535</v>
      </c>
      <c r="AO42" s="340" t="n"/>
      <c r="AP42" s="353" t="n"/>
      <c r="AQ42" s="349" t="n"/>
      <c r="AR42" s="350" t="n"/>
      <c r="AS42" s="89" t="inlineStr">
        <is>
          <t>+</t>
        </is>
      </c>
    </row>
    <row r="43" ht="18.75" customHeight="1">
      <c r="A43" s="8" t="n"/>
      <c r="B43" s="351" t="n"/>
      <c r="C43" s="352" t="n"/>
      <c r="D43" s="146" t="n">
        <v>30</v>
      </c>
      <c r="E43" s="347" t="n"/>
      <c r="F43" s="347" t="n"/>
      <c r="G43" s="347" t="n"/>
      <c r="H43" s="152" t="inlineStr">
        <is>
          <t>Declaraciones de Ingreso (DIN) importaciones activo fijo</t>
        </is>
      </c>
      <c r="I43" s="339" t="n"/>
      <c r="J43" s="339" t="n"/>
      <c r="K43" s="339" t="n"/>
      <c r="L43" s="339" t="n"/>
      <c r="M43" s="339" t="n"/>
      <c r="N43" s="339" t="n"/>
      <c r="O43" s="339" t="n"/>
      <c r="P43" s="339" t="n"/>
      <c r="Q43" s="339" t="n"/>
      <c r="R43" s="339" t="n"/>
      <c r="S43" s="339" t="n"/>
      <c r="T43" s="339" t="n"/>
      <c r="U43" s="339" t="n"/>
      <c r="V43" s="340" t="n"/>
      <c r="W43" s="153" t="n">
        <v>536</v>
      </c>
      <c r="X43" s="340" t="n"/>
      <c r="Y43" s="369" t="n"/>
      <c r="Z43" s="349" t="n"/>
      <c r="AA43" s="349" t="n"/>
      <c r="AB43" s="349" t="n"/>
      <c r="AC43" s="349" t="n"/>
      <c r="AD43" s="349" t="n"/>
      <c r="AE43" s="349" t="n"/>
      <c r="AF43" s="349" t="n"/>
      <c r="AG43" s="349" t="n"/>
      <c r="AH43" s="349" t="n"/>
      <c r="AI43" s="349" t="n"/>
      <c r="AJ43" s="349" t="n"/>
      <c r="AK43" s="349" t="n"/>
      <c r="AL43" s="349" t="n"/>
      <c r="AM43" s="350" t="n"/>
      <c r="AN43" s="155" t="n">
        <v>553</v>
      </c>
      <c r="AO43" s="340" t="n"/>
      <c r="AP43" s="353" t="n"/>
      <c r="AQ43" s="349" t="n"/>
      <c r="AR43" s="350" t="n"/>
      <c r="AS43" s="89" t="inlineStr">
        <is>
          <t>+</t>
        </is>
      </c>
    </row>
    <row r="44" ht="18.75" customHeight="1">
      <c r="A44" s="8" t="n"/>
      <c r="B44" s="351" t="n"/>
      <c r="C44" s="352" t="n"/>
      <c r="D44" s="155" t="n">
        <v>31</v>
      </c>
      <c r="E44" s="378" t="inlineStr">
        <is>
          <t>Remanente Crédito Fiscal del mes anterior</t>
        </is>
      </c>
      <c r="F44" s="339" t="n"/>
      <c r="G44" s="339" t="n"/>
      <c r="H44" s="339" t="n"/>
      <c r="I44" s="339" t="n"/>
      <c r="J44" s="339" t="n"/>
      <c r="K44" s="339" t="n"/>
      <c r="L44" s="339" t="n"/>
      <c r="M44" s="339" t="n"/>
      <c r="N44" s="339" t="n"/>
      <c r="O44" s="339" t="n"/>
      <c r="P44" s="339" t="n"/>
      <c r="Q44" s="339" t="n"/>
      <c r="R44" s="339" t="n"/>
      <c r="S44" s="339" t="n"/>
      <c r="T44" s="339" t="n"/>
      <c r="U44" s="339" t="n"/>
      <c r="V44" s="339" t="n"/>
      <c r="W44" s="339" t="n"/>
      <c r="X44" s="339" t="n"/>
      <c r="Y44" s="339" t="n"/>
      <c r="Z44" s="339" t="n"/>
      <c r="AA44" s="339" t="n"/>
      <c r="AB44" s="339" t="n"/>
      <c r="AC44" s="339" t="n"/>
      <c r="AD44" s="339" t="n"/>
      <c r="AE44" s="339" t="n"/>
      <c r="AF44" s="339" t="n"/>
      <c r="AG44" s="339" t="n"/>
      <c r="AH44" s="339" t="n"/>
      <c r="AI44" s="339" t="n"/>
      <c r="AJ44" s="339" t="n"/>
      <c r="AK44" s="339" t="n"/>
      <c r="AL44" s="339" t="n"/>
      <c r="AM44" s="340" t="n"/>
      <c r="AN44" s="155" t="n">
        <v>504</v>
      </c>
      <c r="AO44" s="340" t="n"/>
      <c r="AP44" s="370">
        <f>'L. VENTAS'!D78</f>
        <v/>
      </c>
      <c r="AQ44" s="349" t="n"/>
      <c r="AR44" s="350" t="n"/>
      <c r="AS44" s="89" t="inlineStr">
        <is>
          <t>+</t>
        </is>
      </c>
    </row>
    <row r="45" ht="18.75" customHeight="1">
      <c r="A45" s="8" t="n"/>
      <c r="B45" s="351" t="n"/>
      <c r="C45" s="352" t="n"/>
      <c r="D45" s="146" t="n">
        <v>32</v>
      </c>
      <c r="E45" s="152" t="inlineStr">
        <is>
          <t>Devolución Solicitud Art. 36 (Exportadores)</t>
        </is>
      </c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39" t="n"/>
      <c r="U45" s="339" t="n"/>
      <c r="V45" s="339" t="n"/>
      <c r="W45" s="339" t="n"/>
      <c r="X45" s="339" t="n"/>
      <c r="Y45" s="339" t="n"/>
      <c r="Z45" s="339" t="n"/>
      <c r="AA45" s="339" t="n"/>
      <c r="AB45" s="339" t="n"/>
      <c r="AC45" s="339" t="n"/>
      <c r="AD45" s="339" t="n"/>
      <c r="AE45" s="339" t="n"/>
      <c r="AF45" s="339" t="n"/>
      <c r="AG45" s="339" t="n"/>
      <c r="AH45" s="339" t="n"/>
      <c r="AI45" s="339" t="n"/>
      <c r="AJ45" s="339" t="n"/>
      <c r="AK45" s="339" t="n"/>
      <c r="AL45" s="339" t="n"/>
      <c r="AM45" s="340" t="n"/>
      <c r="AN45" s="155" t="n">
        <v>593</v>
      </c>
      <c r="AO45" s="340" t="n"/>
      <c r="AP45" s="353" t="n"/>
      <c r="AQ45" s="349" t="n"/>
      <c r="AR45" s="350" t="n"/>
      <c r="AS45" s="89" t="inlineStr">
        <is>
          <t>-</t>
        </is>
      </c>
    </row>
    <row r="46" ht="18.75" customHeight="1">
      <c r="A46" s="8" t="n"/>
      <c r="B46" s="351" t="n"/>
      <c r="C46" s="352" t="n"/>
      <c r="D46" s="146" t="n">
        <v>33</v>
      </c>
      <c r="E46" s="152" t="inlineStr">
        <is>
          <t>Devolución Solicitud Art. 27 bis (Activo fijo)</t>
        </is>
      </c>
      <c r="F46" s="339" t="n"/>
      <c r="G46" s="339" t="n"/>
      <c r="H46" s="339" t="n"/>
      <c r="I46" s="339" t="n"/>
      <c r="J46" s="339" t="n"/>
      <c r="K46" s="339" t="n"/>
      <c r="L46" s="339" t="n"/>
      <c r="M46" s="339" t="n"/>
      <c r="N46" s="339" t="n"/>
      <c r="O46" s="339" t="n"/>
      <c r="P46" s="339" t="n"/>
      <c r="Q46" s="339" t="n"/>
      <c r="R46" s="339" t="n"/>
      <c r="S46" s="339" t="n"/>
      <c r="T46" s="339" t="n"/>
      <c r="U46" s="339" t="n"/>
      <c r="V46" s="339" t="n"/>
      <c r="W46" s="339" t="n"/>
      <c r="X46" s="339" t="n"/>
      <c r="Y46" s="339" t="n"/>
      <c r="Z46" s="339" t="n"/>
      <c r="AA46" s="339" t="n"/>
      <c r="AB46" s="339" t="n"/>
      <c r="AC46" s="339" t="n"/>
      <c r="AD46" s="339" t="n"/>
      <c r="AE46" s="339" t="n"/>
      <c r="AF46" s="339" t="n"/>
      <c r="AG46" s="339" t="n"/>
      <c r="AH46" s="339" t="n"/>
      <c r="AI46" s="339" t="n"/>
      <c r="AJ46" s="339" t="n"/>
      <c r="AK46" s="339" t="n"/>
      <c r="AL46" s="339" t="n"/>
      <c r="AM46" s="340" t="n"/>
      <c r="AN46" s="155" t="n">
        <v>594</v>
      </c>
      <c r="AO46" s="340" t="n"/>
      <c r="AP46" s="353" t="n"/>
      <c r="AQ46" s="349" t="n"/>
      <c r="AR46" s="350" t="n"/>
      <c r="AS46" s="89" t="inlineStr">
        <is>
          <t>-</t>
        </is>
      </c>
    </row>
    <row r="47" ht="18.75" customHeight="1">
      <c r="A47" s="8" t="n"/>
      <c r="B47" s="351" t="n"/>
      <c r="C47" s="352" t="n"/>
      <c r="D47" s="146" t="n">
        <v>34</v>
      </c>
      <c r="E47" s="152" t="inlineStr">
        <is>
          <t>Certificado Imputación Art. 27 bis (Activo fijo)</t>
        </is>
      </c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339" t="n"/>
      <c r="P47" s="339" t="n"/>
      <c r="Q47" s="339" t="n"/>
      <c r="R47" s="339" t="n"/>
      <c r="S47" s="339" t="n"/>
      <c r="T47" s="339" t="n"/>
      <c r="U47" s="339" t="n"/>
      <c r="V47" s="339" t="n"/>
      <c r="W47" s="339" t="n"/>
      <c r="X47" s="339" t="n"/>
      <c r="Y47" s="339" t="n"/>
      <c r="Z47" s="339" t="n"/>
      <c r="AA47" s="339" t="n"/>
      <c r="AB47" s="339" t="n"/>
      <c r="AC47" s="339" t="n"/>
      <c r="AD47" s="339" t="n"/>
      <c r="AE47" s="339" t="n"/>
      <c r="AF47" s="339" t="n"/>
      <c r="AG47" s="339" t="n"/>
      <c r="AH47" s="339" t="n"/>
      <c r="AI47" s="339" t="n"/>
      <c r="AJ47" s="339" t="n"/>
      <c r="AK47" s="339" t="n"/>
      <c r="AL47" s="339" t="n"/>
      <c r="AM47" s="340" t="n"/>
      <c r="AN47" s="155" t="n">
        <v>592</v>
      </c>
      <c r="AO47" s="340" t="n"/>
      <c r="AP47" s="353" t="n"/>
      <c r="AQ47" s="349" t="n"/>
      <c r="AR47" s="350" t="n"/>
      <c r="AS47" s="89" t="inlineStr">
        <is>
          <t>-</t>
        </is>
      </c>
    </row>
    <row r="48" ht="18.75" customHeight="1">
      <c r="A48" s="8" t="n"/>
      <c r="B48" s="351" t="n"/>
      <c r="C48" s="352" t="n"/>
      <c r="D48" s="146" t="n">
        <v>35</v>
      </c>
      <c r="E48" s="152" t="inlineStr">
        <is>
          <t>Devolución Solicitud Art. 3º (Cambio de Sujeto)</t>
        </is>
      </c>
      <c r="F48" s="339" t="n"/>
      <c r="G48" s="339" t="n"/>
      <c r="H48" s="339" t="n"/>
      <c r="I48" s="339" t="n"/>
      <c r="J48" s="339" t="n"/>
      <c r="K48" s="339" t="n"/>
      <c r="L48" s="339" t="n"/>
      <c r="M48" s="339" t="n"/>
      <c r="N48" s="339" t="n"/>
      <c r="O48" s="339" t="n"/>
      <c r="P48" s="339" t="n"/>
      <c r="Q48" s="339" t="n"/>
      <c r="R48" s="339" t="n"/>
      <c r="S48" s="339" t="n"/>
      <c r="T48" s="339" t="n"/>
      <c r="U48" s="339" t="n"/>
      <c r="V48" s="339" t="n"/>
      <c r="W48" s="339" t="n"/>
      <c r="X48" s="339" t="n"/>
      <c r="Y48" s="339" t="n"/>
      <c r="Z48" s="339" t="n"/>
      <c r="AA48" s="339" t="n"/>
      <c r="AB48" s="339" t="n"/>
      <c r="AC48" s="339" t="n"/>
      <c r="AD48" s="339" t="n"/>
      <c r="AE48" s="339" t="n"/>
      <c r="AF48" s="339" t="n"/>
      <c r="AG48" s="339" t="n"/>
      <c r="AH48" s="339" t="n"/>
      <c r="AI48" s="339" t="n"/>
      <c r="AJ48" s="339" t="n"/>
      <c r="AK48" s="339" t="n"/>
      <c r="AL48" s="339" t="n"/>
      <c r="AM48" s="340" t="n"/>
      <c r="AN48" s="155" t="n">
        <v>539</v>
      </c>
      <c r="AO48" s="340" t="n"/>
      <c r="AP48" s="353" t="n"/>
      <c r="AQ48" s="349" t="n"/>
      <c r="AR48" s="350" t="n"/>
      <c r="AS48" s="89" t="inlineStr">
        <is>
          <t>-</t>
        </is>
      </c>
    </row>
    <row r="49" ht="18.75" customHeight="1">
      <c r="A49" s="8" t="n"/>
      <c r="B49" s="351" t="n"/>
      <c r="C49" s="352" t="n"/>
      <c r="D49" s="146" t="n">
        <v>36</v>
      </c>
      <c r="E49" s="152" t="inlineStr">
        <is>
          <t>Devolución Solicitud Ley Nº 20.258 por remanente CF IVA originado en Impto. Específico Petróleo Diesel (Generadoras Eléctricas)</t>
        </is>
      </c>
      <c r="F49" s="339" t="n"/>
      <c r="G49" s="339" t="n"/>
      <c r="H49" s="339" t="n"/>
      <c r="I49" s="339" t="n"/>
      <c r="J49" s="339" t="n"/>
      <c r="K49" s="339" t="n"/>
      <c r="L49" s="339" t="n"/>
      <c r="M49" s="339" t="n"/>
      <c r="N49" s="339" t="n"/>
      <c r="O49" s="339" t="n"/>
      <c r="P49" s="339" t="n"/>
      <c r="Q49" s="339" t="n"/>
      <c r="R49" s="339" t="n"/>
      <c r="S49" s="339" t="n"/>
      <c r="T49" s="339" t="n"/>
      <c r="U49" s="339" t="n"/>
      <c r="V49" s="339" t="n"/>
      <c r="W49" s="339" t="n"/>
      <c r="X49" s="339" t="n"/>
      <c r="Y49" s="339" t="n"/>
      <c r="Z49" s="339" t="n"/>
      <c r="AA49" s="339" t="n"/>
      <c r="AB49" s="339" t="n"/>
      <c r="AC49" s="339" t="n"/>
      <c r="AD49" s="339" t="n"/>
      <c r="AE49" s="339" t="n"/>
      <c r="AF49" s="339" t="n"/>
      <c r="AG49" s="339" t="n"/>
      <c r="AH49" s="339" t="n"/>
      <c r="AI49" s="339" t="n"/>
      <c r="AJ49" s="339" t="n"/>
      <c r="AK49" s="339" t="n"/>
      <c r="AL49" s="339" t="n"/>
      <c r="AM49" s="340" t="n"/>
      <c r="AN49" s="155" t="n">
        <v>718</v>
      </c>
      <c r="AO49" s="340" t="n"/>
      <c r="AP49" s="353" t="n"/>
      <c r="AQ49" s="349" t="n"/>
      <c r="AR49" s="350" t="n"/>
      <c r="AS49" s="89" t="inlineStr">
        <is>
          <t>-</t>
        </is>
      </c>
    </row>
    <row r="50" ht="18.75" customHeight="1">
      <c r="A50" s="8" t="n"/>
      <c r="B50" s="351" t="n"/>
      <c r="C50" s="352" t="n"/>
      <c r="D50" s="146" t="n">
        <v>37</v>
      </c>
      <c r="E50" s="152" t="inlineStr">
        <is>
          <t>Monto Reintegrado por Devolución Indebida de Crédito Fiscal D.S. 348 (Exportadores)</t>
        </is>
      </c>
      <c r="F50" s="339" t="n"/>
      <c r="G50" s="339" t="n"/>
      <c r="H50" s="339" t="n"/>
      <c r="I50" s="339" t="n"/>
      <c r="J50" s="339" t="n"/>
      <c r="K50" s="339" t="n"/>
      <c r="L50" s="339" t="n"/>
      <c r="M50" s="339" t="n"/>
      <c r="N50" s="339" t="n"/>
      <c r="O50" s="339" t="n"/>
      <c r="P50" s="339" t="n"/>
      <c r="Q50" s="339" t="n"/>
      <c r="R50" s="339" t="n"/>
      <c r="S50" s="339" t="n"/>
      <c r="T50" s="339" t="n"/>
      <c r="U50" s="339" t="n"/>
      <c r="V50" s="339" t="n"/>
      <c r="W50" s="339" t="n"/>
      <c r="X50" s="339" t="n"/>
      <c r="Y50" s="339" t="n"/>
      <c r="Z50" s="339" t="n"/>
      <c r="AA50" s="339" t="n"/>
      <c r="AB50" s="339" t="n"/>
      <c r="AC50" s="339" t="n"/>
      <c r="AD50" s="339" t="n"/>
      <c r="AE50" s="339" t="n"/>
      <c r="AF50" s="339" t="n"/>
      <c r="AG50" s="339" t="n"/>
      <c r="AH50" s="339" t="n"/>
      <c r="AI50" s="339" t="n"/>
      <c r="AJ50" s="339" t="n"/>
      <c r="AK50" s="339" t="n"/>
      <c r="AL50" s="339" t="n"/>
      <c r="AM50" s="340" t="n"/>
      <c r="AN50" s="155" t="n">
        <v>164</v>
      </c>
      <c r="AO50" s="340" t="n"/>
      <c r="AP50" s="353" t="n"/>
      <c r="AQ50" s="349" t="n"/>
      <c r="AR50" s="350" t="n"/>
      <c r="AS50" s="89" t="inlineStr">
        <is>
          <t>+</t>
        </is>
      </c>
    </row>
    <row r="51" ht="18.75" customHeight="1">
      <c r="A51" s="8" t="n"/>
      <c r="B51" s="351" t="n"/>
      <c r="C51" s="352" t="n"/>
      <c r="D51" s="155" t="n"/>
      <c r="R51" s="278" t="inlineStr">
        <is>
          <t>M3 Comprados con derecho a crédito</t>
        </is>
      </c>
      <c r="S51" s="382" t="n"/>
      <c r="T51" s="382" t="n"/>
      <c r="U51" s="382" t="n"/>
      <c r="V51" s="382" t="n"/>
      <c r="W51" s="382" t="n"/>
      <c r="X51" s="382" t="n"/>
      <c r="Y51" s="382" t="n"/>
      <c r="Z51" s="383" t="n"/>
      <c r="AC51" s="278" t="inlineStr">
        <is>
          <t>Componentes del Impuesto</t>
        </is>
      </c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3" t="n"/>
      <c r="AN51" s="155" t="n"/>
      <c r="AO51" s="340" t="n"/>
      <c r="AP51" s="353" t="n"/>
      <c r="AQ51" s="349" t="n"/>
      <c r="AR51" s="350" t="n"/>
      <c r="AS51" s="89" t="n"/>
    </row>
    <row r="52" ht="27.75" customHeight="1">
      <c r="A52" s="8" t="n"/>
      <c r="B52" s="351" t="n"/>
      <c r="C52" s="352" t="n"/>
      <c r="D52" s="146" t="n">
        <v>38</v>
      </c>
      <c r="E52" s="384" t="inlineStr">
        <is>
          <t>Recuperación  del Impto. Específico al Petróleo Diesel (Art. 7º Ley 18.502 y 3º D.S. Nº 311/86)</t>
        </is>
      </c>
      <c r="F52" s="341" t="n"/>
      <c r="G52" s="341" t="n"/>
      <c r="H52" s="341" t="n"/>
      <c r="I52" s="341" t="n"/>
      <c r="J52" s="341" t="n"/>
      <c r="K52" s="341" t="n"/>
      <c r="L52" s="341" t="n"/>
      <c r="M52" s="341" t="n"/>
      <c r="N52" s="341" t="n"/>
      <c r="O52" s="341" t="n"/>
      <c r="P52" s="341" t="n"/>
      <c r="Q52" s="342" t="n"/>
      <c r="R52" s="146" t="n">
        <v>730</v>
      </c>
      <c r="S52" s="342" t="n"/>
      <c r="T52" s="146" t="n"/>
      <c r="U52" s="152" t="inlineStr">
        <is>
          <t>Base</t>
        </is>
      </c>
      <c r="V52" s="339" t="n"/>
      <c r="W52" s="339" t="n"/>
      <c r="X52" s="339" t="n"/>
      <c r="Y52" s="339" t="n"/>
      <c r="Z52" s="340" t="n"/>
      <c r="AA52" s="146" t="n">
        <v>742</v>
      </c>
      <c r="AB52" s="340" t="n"/>
      <c r="AC52" s="146" t="n"/>
      <c r="AD52" s="339" t="n"/>
      <c r="AE52" s="339" t="n"/>
      <c r="AF52" s="339" t="n"/>
      <c r="AG52" s="339" t="n"/>
      <c r="AH52" s="339" t="n"/>
      <c r="AI52" s="339" t="n"/>
      <c r="AJ52" s="339" t="n"/>
      <c r="AK52" s="339" t="n"/>
      <c r="AL52" s="339" t="n"/>
      <c r="AM52" s="340" t="n"/>
      <c r="AN52" s="146" t="n">
        <v>127</v>
      </c>
      <c r="AO52" s="342" t="n"/>
      <c r="AP52" s="375" t="n"/>
      <c r="AQ52" s="385" t="n"/>
      <c r="AR52" s="386" t="n"/>
      <c r="AS52" s="24" t="inlineStr">
        <is>
          <t>+</t>
        </is>
      </c>
    </row>
    <row r="53" ht="27.75" customHeight="1">
      <c r="A53" s="8" t="n"/>
      <c r="B53" s="351" t="n"/>
      <c r="C53" s="352" t="n"/>
      <c r="D53" s="347" t="n"/>
      <c r="E53" s="344" t="n"/>
      <c r="F53" s="345" t="n"/>
      <c r="G53" s="345" t="n"/>
      <c r="H53" s="345" t="n"/>
      <c r="I53" s="345" t="n"/>
      <c r="J53" s="345" t="n"/>
      <c r="K53" s="345" t="n"/>
      <c r="L53" s="345" t="n"/>
      <c r="M53" s="345" t="n"/>
      <c r="N53" s="345" t="n"/>
      <c r="O53" s="345" t="n"/>
      <c r="P53" s="345" t="n"/>
      <c r="Q53" s="346" t="n"/>
      <c r="R53" s="344" t="n"/>
      <c r="S53" s="346" t="n"/>
      <c r="T53" s="347" t="n"/>
      <c r="U53" s="152" t="inlineStr">
        <is>
          <t>Variable</t>
        </is>
      </c>
      <c r="V53" s="339" t="n"/>
      <c r="W53" s="339" t="n"/>
      <c r="X53" s="339" t="n"/>
      <c r="Y53" s="339" t="n"/>
      <c r="Z53" s="340" t="n"/>
      <c r="AA53" s="146" t="n">
        <v>743</v>
      </c>
      <c r="AB53" s="340" t="n"/>
      <c r="AC53" s="146" t="n"/>
      <c r="AD53" s="339" t="n"/>
      <c r="AE53" s="339" t="n"/>
      <c r="AF53" s="339" t="n"/>
      <c r="AG53" s="339" t="n"/>
      <c r="AH53" s="339" t="n"/>
      <c r="AI53" s="339" t="n"/>
      <c r="AJ53" s="339" t="n"/>
      <c r="AK53" s="339" t="n"/>
      <c r="AL53" s="339" t="n"/>
      <c r="AM53" s="340" t="n"/>
      <c r="AN53" s="344" t="n"/>
      <c r="AO53" s="346" t="n"/>
      <c r="AP53" s="387" t="n"/>
      <c r="AQ53" s="388" t="n"/>
      <c r="AR53" s="389" t="n"/>
      <c r="AS53" s="347" t="n"/>
    </row>
    <row r="54" ht="27.75" customHeight="1">
      <c r="A54" s="8" t="n"/>
      <c r="B54" s="351" t="n"/>
      <c r="C54" s="352" t="n"/>
      <c r="D54" s="146" t="n">
        <v>39</v>
      </c>
      <c r="E54" s="384" t="inlineStr">
        <is>
          <t>Recuperación  del Impto. Específico al Petróleo Diesel soportado por Transportistas de Carga (Art. 2º Ley 19.764)</t>
        </is>
      </c>
      <c r="F54" s="341" t="n"/>
      <c r="G54" s="341" t="n"/>
      <c r="H54" s="341" t="n"/>
      <c r="I54" s="341" t="n"/>
      <c r="J54" s="341" t="n"/>
      <c r="K54" s="341" t="n"/>
      <c r="L54" s="341" t="n"/>
      <c r="M54" s="341" t="n"/>
      <c r="N54" s="341" t="n"/>
      <c r="O54" s="341" t="n"/>
      <c r="P54" s="341" t="n"/>
      <c r="Q54" s="342" t="n"/>
      <c r="R54" s="146" t="n">
        <v>729</v>
      </c>
      <c r="S54" s="342" t="n"/>
      <c r="T54" s="194" t="n"/>
      <c r="U54" s="152" t="inlineStr">
        <is>
          <t>Base</t>
        </is>
      </c>
      <c r="V54" s="339" t="n"/>
      <c r="W54" s="339" t="n"/>
      <c r="X54" s="339" t="n"/>
      <c r="Y54" s="339" t="n"/>
      <c r="Z54" s="340" t="n"/>
      <c r="AA54" s="146" t="n">
        <v>744</v>
      </c>
      <c r="AB54" s="340" t="n"/>
      <c r="AC54" s="146" t="n"/>
      <c r="AD54" s="339" t="n"/>
      <c r="AE54" s="339" t="n"/>
      <c r="AF54" s="339" t="n"/>
      <c r="AG54" s="339" t="n"/>
      <c r="AH54" s="339" t="n"/>
      <c r="AI54" s="339" t="n"/>
      <c r="AJ54" s="339" t="n"/>
      <c r="AK54" s="339" t="n"/>
      <c r="AL54" s="339" t="n"/>
      <c r="AM54" s="340" t="n"/>
      <c r="AN54" s="146" t="n">
        <v>544</v>
      </c>
      <c r="AO54" s="342" t="n"/>
      <c r="AP54" s="375" t="n"/>
      <c r="AQ54" s="385" t="n"/>
      <c r="AR54" s="386" t="n"/>
      <c r="AS54" s="24" t="inlineStr">
        <is>
          <t>+</t>
        </is>
      </c>
    </row>
    <row r="55" ht="27.75" customHeight="1">
      <c r="A55" s="8" t="n"/>
      <c r="B55" s="351" t="n"/>
      <c r="C55" s="352" t="n"/>
      <c r="D55" s="146" t="n"/>
      <c r="E55" s="344" t="n"/>
      <c r="F55" s="345" t="n"/>
      <c r="G55" s="345" t="n"/>
      <c r="H55" s="345" t="n"/>
      <c r="I55" s="345" t="n"/>
      <c r="J55" s="345" t="n"/>
      <c r="K55" s="345" t="n"/>
      <c r="L55" s="345" t="n"/>
      <c r="M55" s="345" t="n"/>
      <c r="N55" s="345" t="n"/>
      <c r="O55" s="345" t="n"/>
      <c r="P55" s="345" t="n"/>
      <c r="Q55" s="346" t="n"/>
      <c r="R55" s="344" t="n"/>
      <c r="S55" s="346" t="n"/>
      <c r="T55" s="344" t="n"/>
      <c r="U55" s="152" t="inlineStr">
        <is>
          <t>Variable</t>
        </is>
      </c>
      <c r="V55" s="339" t="n"/>
      <c r="W55" s="339" t="n"/>
      <c r="X55" s="339" t="n"/>
      <c r="Y55" s="339" t="n"/>
      <c r="Z55" s="340" t="n"/>
      <c r="AA55" s="146" t="n">
        <v>745</v>
      </c>
      <c r="AB55" s="340" t="n"/>
      <c r="AC55" s="146" t="n"/>
      <c r="AD55" s="339" t="n"/>
      <c r="AE55" s="339" t="n"/>
      <c r="AF55" s="339" t="n"/>
      <c r="AG55" s="339" t="n"/>
      <c r="AH55" s="339" t="n"/>
      <c r="AI55" s="339" t="n"/>
      <c r="AJ55" s="339" t="n"/>
      <c r="AK55" s="339" t="n"/>
      <c r="AL55" s="339" t="n"/>
      <c r="AM55" s="340" t="n"/>
      <c r="AN55" s="344" t="n"/>
      <c r="AO55" s="346" t="n"/>
      <c r="AP55" s="387" t="n"/>
      <c r="AQ55" s="388" t="n"/>
      <c r="AR55" s="389" t="n"/>
      <c r="AS55" s="347" t="n"/>
    </row>
    <row r="56" ht="27.75" customHeight="1">
      <c r="A56" s="8" t="n"/>
      <c r="B56" s="351" t="n"/>
      <c r="C56" s="352" t="n"/>
      <c r="D56" s="146" t="n">
        <v>40</v>
      </c>
      <c r="E56" s="390" t="inlineStr">
        <is>
          <t>Crédito del Art. 11º Ley 18.211 (correspondiente a Zona Franca de Extensión)</t>
        </is>
      </c>
      <c r="F56" s="339" t="n"/>
      <c r="G56" s="339" t="n"/>
      <c r="H56" s="339" t="n"/>
      <c r="I56" s="339" t="n"/>
      <c r="J56" s="339" t="n"/>
      <c r="K56" s="339" t="n"/>
      <c r="L56" s="339" t="n"/>
      <c r="M56" s="339" t="n"/>
      <c r="N56" s="339" t="n"/>
      <c r="O56" s="339" t="n"/>
      <c r="P56" s="339" t="n"/>
      <c r="Q56" s="339" t="n"/>
      <c r="R56" s="339" t="n"/>
      <c r="S56" s="339" t="n"/>
      <c r="T56" s="339" t="n"/>
      <c r="U56" s="339" t="n"/>
      <c r="V56" s="339" t="n"/>
      <c r="W56" s="339" t="n"/>
      <c r="X56" s="339" t="n"/>
      <c r="Y56" s="339" t="n"/>
      <c r="Z56" s="339" t="n"/>
      <c r="AA56" s="339" t="n"/>
      <c r="AB56" s="339" t="n"/>
      <c r="AC56" s="339" t="n"/>
      <c r="AD56" s="339" t="n"/>
      <c r="AE56" s="339" t="n"/>
      <c r="AF56" s="339" t="n"/>
      <c r="AG56" s="339" t="n"/>
      <c r="AH56" s="339" t="n"/>
      <c r="AI56" s="339" t="n"/>
      <c r="AJ56" s="339" t="n"/>
      <c r="AK56" s="339" t="n"/>
      <c r="AL56" s="339" t="n"/>
      <c r="AM56" s="340" t="n"/>
      <c r="AN56" s="146" t="n">
        <v>523</v>
      </c>
      <c r="AO56" s="340" t="n"/>
      <c r="AP56" s="375" t="n"/>
      <c r="AQ56" s="349" t="n"/>
      <c r="AR56" s="350" t="n"/>
      <c r="AS56" s="24" t="inlineStr">
        <is>
          <t>+</t>
        </is>
      </c>
    </row>
    <row r="57" ht="18.75" customHeight="1">
      <c r="A57" s="8" t="n"/>
      <c r="B57" s="351" t="n"/>
      <c r="C57" s="352" t="n"/>
      <c r="D57" s="146" t="n">
        <v>41</v>
      </c>
      <c r="E57" s="152" t="inlineStr">
        <is>
          <t>Crédito por Impuesto de Timbres y Estampillas, Art. 3º Ley 20.259</t>
        </is>
      </c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339" t="n"/>
      <c r="U57" s="339" t="n"/>
      <c r="V57" s="339" t="n"/>
      <c r="W57" s="339" t="n"/>
      <c r="X57" s="339" t="n"/>
      <c r="Y57" s="339" t="n"/>
      <c r="Z57" s="339" t="n"/>
      <c r="AA57" s="339" t="n"/>
      <c r="AB57" s="339" t="n"/>
      <c r="AC57" s="339" t="n"/>
      <c r="AD57" s="339" t="n"/>
      <c r="AE57" s="339" t="n"/>
      <c r="AF57" s="339" t="n"/>
      <c r="AG57" s="339" t="n"/>
      <c r="AH57" s="339" t="n"/>
      <c r="AI57" s="339" t="n"/>
      <c r="AJ57" s="339" t="n"/>
      <c r="AK57" s="339" t="n"/>
      <c r="AL57" s="339" t="n"/>
      <c r="AM57" s="340" t="n"/>
      <c r="AN57" s="146" t="n">
        <v>712</v>
      </c>
      <c r="AO57" s="340" t="n"/>
      <c r="AP57" s="375" t="n"/>
      <c r="AQ57" s="349" t="n"/>
      <c r="AR57" s="350" t="n"/>
      <c r="AS57" s="24" t="inlineStr">
        <is>
          <t>+</t>
        </is>
      </c>
    </row>
    <row r="58" ht="18.75" customHeight="1">
      <c r="A58" s="8" t="n"/>
      <c r="B58" s="344" t="n"/>
      <c r="C58" s="346" t="n"/>
      <c r="D58" s="146" t="n">
        <v>42</v>
      </c>
      <c r="E58" s="201" t="inlineStr">
        <is>
          <t>TOTAL CREDITOS</t>
        </is>
      </c>
      <c r="F58" s="339" t="n"/>
      <c r="G58" s="339" t="n"/>
      <c r="H58" s="339" t="n"/>
      <c r="I58" s="339" t="n"/>
      <c r="J58" s="339" t="n"/>
      <c r="K58" s="339" t="n"/>
      <c r="L58" s="339" t="n"/>
      <c r="M58" s="339" t="n"/>
      <c r="N58" s="339" t="n"/>
      <c r="O58" s="339" t="n"/>
      <c r="P58" s="339" t="n"/>
      <c r="Q58" s="339" t="n"/>
      <c r="R58" s="339" t="n"/>
      <c r="S58" s="339" t="n"/>
      <c r="T58" s="339" t="n"/>
      <c r="U58" s="339" t="n"/>
      <c r="V58" s="339" t="n"/>
      <c r="W58" s="339" t="n"/>
      <c r="X58" s="339" t="n"/>
      <c r="Y58" s="339" t="n"/>
      <c r="Z58" s="339" t="n"/>
      <c r="AA58" s="339" t="n"/>
      <c r="AB58" s="339" t="n"/>
      <c r="AC58" s="339" t="n"/>
      <c r="AD58" s="339" t="n"/>
      <c r="AE58" s="339" t="n"/>
      <c r="AF58" s="339" t="n"/>
      <c r="AG58" s="339" t="n"/>
      <c r="AH58" s="339" t="n"/>
      <c r="AI58" s="339" t="n"/>
      <c r="AJ58" s="339" t="n"/>
      <c r="AK58" s="339" t="n"/>
      <c r="AL58" s="339" t="n"/>
      <c r="AM58" s="340" t="n"/>
      <c r="AN58" s="202" t="n">
        <v>537</v>
      </c>
      <c r="AO58" s="340" t="n"/>
      <c r="AP58" s="373">
        <f>AP38+AP39-AP40+AP41+AP42+AP43+AP44-AP45-AP46-AP47-AP48-AP49+AP50+AP52+AP54+AP56+AP57</f>
        <v/>
      </c>
      <c r="AQ58" s="339" t="n"/>
      <c r="AR58" s="340" t="n"/>
      <c r="AS58" s="25" t="inlineStr">
        <is>
          <t>=</t>
        </is>
      </c>
    </row>
    <row r="59" ht="18" customHeight="1">
      <c r="A59" s="8" t="n"/>
      <c r="B59" s="9" t="n"/>
      <c r="C59" s="9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11" t="n"/>
      <c r="X59" s="11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391" t="n"/>
      <c r="AR59" s="392" t="n"/>
      <c r="AS59" s="392" t="n"/>
    </row>
    <row r="60" ht="15.75" customHeight="1">
      <c r="A60" s="8" t="n"/>
      <c r="B60" s="9" t="n"/>
      <c r="C60" s="9" t="n"/>
      <c r="D60" s="8" t="inlineStr">
        <is>
          <t>Diferencia Total Débitos (línea 12, código 538) menos Total Créditos (línea 32, código 537); trasládelo a la línea 33. Si el resultado es positivo al código 89, si es negativo al código 77 sin signo.</t>
        </is>
      </c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11" t="n"/>
      <c r="X60" s="11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348" t="n"/>
      <c r="AS60" s="9" t="n"/>
    </row>
    <row r="61" ht="15.75" customHeight="1">
      <c r="A61" s="8" t="n"/>
      <c r="B61" s="9" t="n"/>
      <c r="C61" s="9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11" t="n"/>
      <c r="X61" s="11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348" t="n"/>
      <c r="AS61" s="9" t="n"/>
    </row>
    <row r="62" ht="15.75" customHeight="1">
      <c r="A62" s="8" t="n"/>
      <c r="B62" s="9" t="n"/>
      <c r="C62" s="9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11" t="n"/>
      <c r="X62" s="11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144" t="inlineStr">
        <is>
          <t>IMPUESTO DETERMINADO</t>
        </is>
      </c>
      <c r="AO62" s="339" t="n"/>
      <c r="AP62" s="339" t="n"/>
      <c r="AQ62" s="339" t="n"/>
      <c r="AR62" s="339" t="n"/>
      <c r="AS62" s="340" t="n"/>
    </row>
    <row r="63" ht="18.75" customHeight="1">
      <c r="A63" s="8" t="n"/>
      <c r="B63" s="9" t="n"/>
      <c r="C63" s="9" t="n"/>
      <c r="D63" s="146" t="n">
        <v>43</v>
      </c>
      <c r="E63" s="152" t="inlineStr">
        <is>
          <t>Remanente de crédito fiscal para el período siguiente</t>
        </is>
      </c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40" t="n"/>
      <c r="P63" s="155" t="n">
        <v>77</v>
      </c>
      <c r="Q63" s="340" t="n"/>
      <c r="R63" s="393" t="n"/>
      <c r="S63" s="349" t="n"/>
      <c r="T63" s="349" t="n"/>
      <c r="U63" s="349" t="n"/>
      <c r="V63" s="349" t="n"/>
      <c r="W63" s="349" t="n"/>
      <c r="X63" s="349" t="n"/>
      <c r="Y63" s="349" t="n"/>
      <c r="Z63" s="349" t="n"/>
      <c r="AA63" s="349" t="n"/>
      <c r="AB63" s="349" t="n"/>
      <c r="AC63" s="349" t="n"/>
      <c r="AD63" s="349" t="n"/>
      <c r="AE63" s="349" t="n"/>
      <c r="AF63" s="350" t="n"/>
      <c r="AG63" s="152" t="inlineStr">
        <is>
          <t>IVA Determinado</t>
        </is>
      </c>
      <c r="AH63" s="339" t="n"/>
      <c r="AI63" s="339" t="n"/>
      <c r="AJ63" s="339" t="n"/>
      <c r="AK63" s="339" t="n"/>
      <c r="AL63" s="339" t="n"/>
      <c r="AM63" s="340" t="n"/>
      <c r="AN63" s="202" t="n">
        <v>89</v>
      </c>
      <c r="AO63" s="340" t="n"/>
      <c r="AP63" s="394">
        <f>MAX(AP29-AP58,0)</f>
        <v/>
      </c>
      <c r="AQ63" s="349" t="n"/>
      <c r="AR63" s="350" t="n"/>
      <c r="AS63" s="25" t="inlineStr">
        <is>
          <t>+</t>
        </is>
      </c>
    </row>
    <row r="64" ht="15.75" customHeight="1">
      <c r="A64" s="8" t="n"/>
      <c r="B64" s="9" t="n"/>
      <c r="C64" s="9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11" t="n"/>
      <c r="X64" s="11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348" t="n"/>
      <c r="AS64" s="9" t="n"/>
    </row>
    <row r="65" ht="18.75" customHeight="1">
      <c r="A65" s="8" t="n"/>
      <c r="B65" s="162" t="inlineStr">
        <is>
          <t>IMPUESTO A LA RENTA D.L. 824/74</t>
        </is>
      </c>
      <c r="C65" s="342" t="n"/>
      <c r="D65" s="196" t="n">
        <v>44</v>
      </c>
      <c r="E65" s="162" t="inlineStr">
        <is>
          <t>Retenciones</t>
        </is>
      </c>
      <c r="F65" s="152" t="inlineStr">
        <is>
          <t>Retención Impuesto Primera Categoría por renta de capitales mobiliarios del Art. 20 Nº2, según Art. 73 LIR</t>
        </is>
      </c>
      <c r="G65" s="339" t="n"/>
      <c r="H65" s="339" t="n"/>
      <c r="I65" s="339" t="n"/>
      <c r="J65" s="339" t="n"/>
      <c r="K65" s="339" t="n"/>
      <c r="L65" s="339" t="n"/>
      <c r="M65" s="339" t="n"/>
      <c r="N65" s="339" t="n"/>
      <c r="O65" s="339" t="n"/>
      <c r="P65" s="339" t="n"/>
      <c r="Q65" s="339" t="n"/>
      <c r="R65" s="339" t="n"/>
      <c r="S65" s="339" t="n"/>
      <c r="T65" s="339" t="n"/>
      <c r="U65" s="339" t="n"/>
      <c r="V65" s="339" t="n"/>
      <c r="W65" s="339" t="n"/>
      <c r="X65" s="339" t="n"/>
      <c r="Y65" s="339" t="n"/>
      <c r="Z65" s="339" t="n"/>
      <c r="AA65" s="339" t="n"/>
      <c r="AB65" s="339" t="n"/>
      <c r="AC65" s="339" t="n"/>
      <c r="AD65" s="339" t="n"/>
      <c r="AE65" s="339" t="n"/>
      <c r="AF65" s="339" t="n"/>
      <c r="AG65" s="339" t="n"/>
      <c r="AH65" s="339" t="n"/>
      <c r="AI65" s="339" t="n"/>
      <c r="AJ65" s="339" t="n"/>
      <c r="AK65" s="339" t="n"/>
      <c r="AL65" s="339" t="n"/>
      <c r="AM65" s="340" t="n"/>
      <c r="AN65" s="155" t="n">
        <v>50</v>
      </c>
      <c r="AO65" s="340" t="n"/>
      <c r="AP65" s="353" t="n"/>
      <c r="AQ65" s="349" t="n"/>
      <c r="AR65" s="350" t="n"/>
      <c r="AS65" s="89" t="inlineStr">
        <is>
          <t>+</t>
        </is>
      </c>
    </row>
    <row r="66" ht="18.75" customHeight="1">
      <c r="A66" s="8" t="n"/>
      <c r="B66" s="351" t="n"/>
      <c r="C66" s="352" t="n"/>
      <c r="D66" s="196" t="n">
        <v>45</v>
      </c>
      <c r="E66" s="355" t="n"/>
      <c r="F66" s="152" t="inlineStr">
        <is>
          <t>Retención Impuesto Único a los Trabajadores, según Art. 74 Nº1 LIR</t>
        </is>
      </c>
      <c r="G66" s="339" t="n"/>
      <c r="H66" s="339" t="n"/>
      <c r="I66" s="339" t="n"/>
      <c r="J66" s="339" t="n"/>
      <c r="K66" s="339" t="n"/>
      <c r="L66" s="339" t="n"/>
      <c r="M66" s="339" t="n"/>
      <c r="N66" s="339" t="n"/>
      <c r="O66" s="339" t="n"/>
      <c r="P66" s="339" t="n"/>
      <c r="Q66" s="339" t="n"/>
      <c r="R66" s="339" t="n"/>
      <c r="S66" s="339" t="n"/>
      <c r="T66" s="339" t="n"/>
      <c r="U66" s="339" t="n"/>
      <c r="V66" s="339" t="n"/>
      <c r="W66" s="339" t="n"/>
      <c r="X66" s="339" t="n"/>
      <c r="Y66" s="339" t="n"/>
      <c r="Z66" s="339" t="n"/>
      <c r="AA66" s="339" t="n"/>
      <c r="AB66" s="339" t="n"/>
      <c r="AC66" s="339" t="n"/>
      <c r="AD66" s="339" t="n"/>
      <c r="AE66" s="339" t="n"/>
      <c r="AF66" s="339" t="n"/>
      <c r="AG66" s="339" t="n"/>
      <c r="AH66" s="339" t="n"/>
      <c r="AI66" s="339" t="n"/>
      <c r="AJ66" s="339" t="n"/>
      <c r="AK66" s="339" t="n"/>
      <c r="AL66" s="339" t="n"/>
      <c r="AM66" s="340" t="n"/>
      <c r="AN66" s="155" t="n">
        <v>48</v>
      </c>
      <c r="AO66" s="340" t="n"/>
      <c r="AP66" s="353" t="n"/>
      <c r="AQ66" s="349" t="n"/>
      <c r="AR66" s="350" t="n"/>
      <c r="AS66" s="89" t="inlineStr">
        <is>
          <t>+</t>
        </is>
      </c>
    </row>
    <row r="67" ht="18.75" customHeight="1">
      <c r="A67" s="8" t="n"/>
      <c r="B67" s="351" t="n"/>
      <c r="C67" s="352" t="n"/>
      <c r="D67" s="196" t="n">
        <v>46</v>
      </c>
      <c r="E67" s="355" t="n"/>
      <c r="F67" s="378" t="inlineStr">
        <is>
          <t>Retención de Impuesto con tasa del 10% sobre las rentas del Art. 42 Nº2, según Art. 74 Nº2 LIR</t>
        </is>
      </c>
      <c r="G67" s="339" t="n"/>
      <c r="H67" s="339" t="n"/>
      <c r="I67" s="339" t="n"/>
      <c r="J67" s="339" t="n"/>
      <c r="K67" s="339" t="n"/>
      <c r="L67" s="339" t="n"/>
      <c r="M67" s="339" t="n"/>
      <c r="N67" s="339" t="n"/>
      <c r="O67" s="339" t="n"/>
      <c r="P67" s="339" t="n"/>
      <c r="Q67" s="339" t="n"/>
      <c r="R67" s="339" t="n"/>
      <c r="S67" s="339" t="n"/>
      <c r="T67" s="339" t="n"/>
      <c r="U67" s="339" t="n"/>
      <c r="V67" s="339" t="n"/>
      <c r="W67" s="339" t="n"/>
      <c r="X67" s="339" t="n"/>
      <c r="Y67" s="339" t="n"/>
      <c r="Z67" s="339" t="n"/>
      <c r="AA67" s="339" t="n"/>
      <c r="AB67" s="339" t="n"/>
      <c r="AC67" s="339" t="n"/>
      <c r="AD67" s="339" t="n"/>
      <c r="AE67" s="339" t="n"/>
      <c r="AF67" s="339" t="n"/>
      <c r="AG67" s="339" t="n"/>
      <c r="AH67" s="339" t="n"/>
      <c r="AI67" s="339" t="n"/>
      <c r="AJ67" s="339" t="n"/>
      <c r="AK67" s="339" t="n"/>
      <c r="AL67" s="339" t="n"/>
      <c r="AM67" s="340" t="n"/>
      <c r="AN67" s="155" t="n">
        <v>151</v>
      </c>
      <c r="AO67" s="340" t="n"/>
      <c r="AP67" s="353" t="n"/>
      <c r="AQ67" s="349" t="n"/>
      <c r="AR67" s="350" t="n"/>
      <c r="AS67" s="89" t="inlineStr">
        <is>
          <t>+</t>
        </is>
      </c>
    </row>
    <row r="68" ht="18.75" customHeight="1">
      <c r="A68" s="8" t="n"/>
      <c r="B68" s="351" t="n"/>
      <c r="C68" s="352" t="n"/>
      <c r="D68" s="196" t="n">
        <v>47</v>
      </c>
      <c r="E68" s="355" t="n"/>
      <c r="F68" s="152" t="inlineStr">
        <is>
          <t>Retención de Impuesto con tasa del 10% sobre las rentas del Art. 48, según Art. 74 Nº3 LIR</t>
        </is>
      </c>
      <c r="G68" s="339" t="n"/>
      <c r="H68" s="339" t="n"/>
      <c r="I68" s="339" t="n"/>
      <c r="J68" s="339" t="n"/>
      <c r="K68" s="339" t="n"/>
      <c r="L68" s="339" t="n"/>
      <c r="M68" s="339" t="n"/>
      <c r="N68" s="339" t="n"/>
      <c r="O68" s="339" t="n"/>
      <c r="P68" s="339" t="n"/>
      <c r="Q68" s="339" t="n"/>
      <c r="R68" s="339" t="n"/>
      <c r="S68" s="339" t="n"/>
      <c r="T68" s="339" t="n"/>
      <c r="U68" s="339" t="n"/>
      <c r="V68" s="339" t="n"/>
      <c r="W68" s="339" t="n"/>
      <c r="X68" s="339" t="n"/>
      <c r="Y68" s="339" t="n"/>
      <c r="Z68" s="339" t="n"/>
      <c r="AA68" s="339" t="n"/>
      <c r="AB68" s="339" t="n"/>
      <c r="AC68" s="339" t="n"/>
      <c r="AD68" s="339" t="n"/>
      <c r="AE68" s="339" t="n"/>
      <c r="AF68" s="339" t="n"/>
      <c r="AG68" s="339" t="n"/>
      <c r="AH68" s="339" t="n"/>
      <c r="AI68" s="339" t="n"/>
      <c r="AJ68" s="339" t="n"/>
      <c r="AK68" s="339" t="n"/>
      <c r="AL68" s="339" t="n"/>
      <c r="AM68" s="340" t="n"/>
      <c r="AN68" s="155" t="n">
        <v>153</v>
      </c>
      <c r="AO68" s="340" t="n"/>
      <c r="AP68" s="353" t="n"/>
      <c r="AQ68" s="349" t="n"/>
      <c r="AR68" s="350" t="n"/>
      <c r="AS68" s="89" t="inlineStr">
        <is>
          <t>+</t>
        </is>
      </c>
    </row>
    <row r="69" ht="18.75" customHeight="1">
      <c r="A69" s="8" t="n"/>
      <c r="B69" s="351" t="n"/>
      <c r="C69" s="352" t="n"/>
      <c r="D69" s="196" t="n">
        <v>48</v>
      </c>
      <c r="E69" s="355" t="n"/>
      <c r="F69" s="152" t="inlineStr">
        <is>
          <t>Retención a Suplementeros, según Art. 74 Nº5 (tasa 0,5%) LIR</t>
        </is>
      </c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339" t="n"/>
      <c r="U69" s="339" t="n"/>
      <c r="V69" s="339" t="n"/>
      <c r="W69" s="339" t="n"/>
      <c r="X69" s="339" t="n"/>
      <c r="Y69" s="339" t="n"/>
      <c r="Z69" s="339" t="n"/>
      <c r="AA69" s="339" t="n"/>
      <c r="AB69" s="339" t="n"/>
      <c r="AC69" s="339" t="n"/>
      <c r="AD69" s="339" t="n"/>
      <c r="AE69" s="339" t="n"/>
      <c r="AF69" s="339" t="n"/>
      <c r="AG69" s="339" t="n"/>
      <c r="AH69" s="339" t="n"/>
      <c r="AI69" s="339" t="n"/>
      <c r="AJ69" s="339" t="n"/>
      <c r="AK69" s="339" t="n"/>
      <c r="AL69" s="339" t="n"/>
      <c r="AM69" s="340" t="n"/>
      <c r="AN69" s="155" t="n">
        <v>54</v>
      </c>
      <c r="AO69" s="340" t="n"/>
      <c r="AP69" s="353" t="n"/>
      <c r="AQ69" s="349" t="n"/>
      <c r="AR69" s="350" t="n"/>
      <c r="AS69" s="89" t="inlineStr">
        <is>
          <t>+</t>
        </is>
      </c>
    </row>
    <row r="70" ht="18.75" customHeight="1">
      <c r="A70" s="8" t="n"/>
      <c r="B70" s="351" t="n"/>
      <c r="C70" s="352" t="n"/>
      <c r="D70" s="196" t="n">
        <v>49</v>
      </c>
      <c r="E70" s="355" t="n"/>
      <c r="F70" s="152" t="inlineStr">
        <is>
          <t>Retención por compra de productos mineros, según Art. 74 Nº 6 LIR</t>
        </is>
      </c>
      <c r="G70" s="339" t="n"/>
      <c r="H70" s="339" t="n"/>
      <c r="I70" s="339" t="n"/>
      <c r="J70" s="339" t="n"/>
      <c r="K70" s="339" t="n"/>
      <c r="L70" s="339" t="n"/>
      <c r="M70" s="339" t="n"/>
      <c r="N70" s="339" t="n"/>
      <c r="O70" s="339" t="n"/>
      <c r="P70" s="339" t="n"/>
      <c r="Q70" s="339" t="n"/>
      <c r="R70" s="339" t="n"/>
      <c r="S70" s="339" t="n"/>
      <c r="T70" s="339" t="n"/>
      <c r="U70" s="339" t="n"/>
      <c r="V70" s="339" t="n"/>
      <c r="W70" s="339" t="n"/>
      <c r="X70" s="339" t="n"/>
      <c r="Y70" s="339" t="n"/>
      <c r="Z70" s="339" t="n"/>
      <c r="AA70" s="339" t="n"/>
      <c r="AB70" s="339" t="n"/>
      <c r="AC70" s="339" t="n"/>
      <c r="AD70" s="339" t="n"/>
      <c r="AE70" s="339" t="n"/>
      <c r="AF70" s="339" t="n"/>
      <c r="AG70" s="339" t="n"/>
      <c r="AH70" s="339" t="n"/>
      <c r="AI70" s="339" t="n"/>
      <c r="AJ70" s="339" t="n"/>
      <c r="AK70" s="339" t="n"/>
      <c r="AL70" s="339" t="n"/>
      <c r="AM70" s="340" t="n"/>
      <c r="AN70" s="155" t="n">
        <v>56</v>
      </c>
      <c r="AO70" s="340" t="n"/>
      <c r="AP70" s="353" t="n"/>
      <c r="AQ70" s="349" t="n"/>
      <c r="AR70" s="350" t="n"/>
      <c r="AS70" s="89" t="inlineStr">
        <is>
          <t>+</t>
        </is>
      </c>
    </row>
    <row r="71" ht="18.75" customHeight="1">
      <c r="A71" s="8" t="n"/>
      <c r="B71" s="351" t="n"/>
      <c r="C71" s="352" t="n"/>
      <c r="D71" s="196" t="n">
        <v>50</v>
      </c>
      <c r="E71" s="355" t="n"/>
      <c r="F71" s="152" t="inlineStr">
        <is>
          <t>Retención sobre cantidades pagadas en cumplimiento de Seguros Dotales del Art. 17 Nº3 (tasa 15%)</t>
        </is>
      </c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339" t="n"/>
      <c r="U71" s="339" t="n"/>
      <c r="V71" s="339" t="n"/>
      <c r="W71" s="339" t="n"/>
      <c r="X71" s="339" t="n"/>
      <c r="Y71" s="339" t="n"/>
      <c r="Z71" s="339" t="n"/>
      <c r="AA71" s="339" t="n"/>
      <c r="AB71" s="339" t="n"/>
      <c r="AC71" s="339" t="n"/>
      <c r="AD71" s="339" t="n"/>
      <c r="AE71" s="339" t="n"/>
      <c r="AF71" s="339" t="n"/>
      <c r="AG71" s="339" t="n"/>
      <c r="AH71" s="339" t="n"/>
      <c r="AI71" s="339" t="n"/>
      <c r="AJ71" s="339" t="n"/>
      <c r="AK71" s="339" t="n"/>
      <c r="AL71" s="339" t="n"/>
      <c r="AM71" s="340" t="n"/>
      <c r="AN71" s="155" t="n">
        <v>588</v>
      </c>
      <c r="AO71" s="340" t="n"/>
      <c r="AP71" s="353" t="n"/>
      <c r="AQ71" s="349" t="n"/>
      <c r="AR71" s="350" t="n"/>
      <c r="AS71" s="89" t="inlineStr">
        <is>
          <t>+</t>
        </is>
      </c>
    </row>
    <row r="72" ht="18.75" customHeight="1">
      <c r="A72" s="8" t="n"/>
      <c r="B72" s="351" t="n"/>
      <c r="C72" s="352" t="n"/>
      <c r="D72" s="196" t="n">
        <v>51</v>
      </c>
      <c r="E72" s="347" t="n"/>
      <c r="F72" s="152" t="inlineStr">
        <is>
          <t>Retención sobre retiros de Ahorro Previsional Voluntario del Art. 42 bis LIR (tasa 15%)</t>
        </is>
      </c>
      <c r="G72" s="339" t="n"/>
      <c r="H72" s="339" t="n"/>
      <c r="I72" s="339" t="n"/>
      <c r="J72" s="339" t="n"/>
      <c r="K72" s="339" t="n"/>
      <c r="L72" s="339" t="n"/>
      <c r="M72" s="339" t="n"/>
      <c r="N72" s="339" t="n"/>
      <c r="O72" s="339" t="n"/>
      <c r="P72" s="339" t="n"/>
      <c r="Q72" s="339" t="n"/>
      <c r="R72" s="339" t="n"/>
      <c r="S72" s="339" t="n"/>
      <c r="T72" s="339" t="n"/>
      <c r="U72" s="339" t="n"/>
      <c r="V72" s="339" t="n"/>
      <c r="W72" s="339" t="n"/>
      <c r="X72" s="339" t="n"/>
      <c r="Y72" s="339" t="n"/>
      <c r="Z72" s="339" t="n"/>
      <c r="AA72" s="339" t="n"/>
      <c r="AB72" s="339" t="n"/>
      <c r="AC72" s="339" t="n"/>
      <c r="AD72" s="339" t="n"/>
      <c r="AE72" s="339" t="n"/>
      <c r="AF72" s="339" t="n"/>
      <c r="AG72" s="339" t="n"/>
      <c r="AH72" s="339" t="n"/>
      <c r="AI72" s="339" t="n"/>
      <c r="AJ72" s="339" t="n"/>
      <c r="AK72" s="339" t="n"/>
      <c r="AL72" s="339" t="n"/>
      <c r="AM72" s="340" t="n"/>
      <c r="AN72" s="155" t="n">
        <v>589</v>
      </c>
      <c r="AO72" s="340" t="n"/>
      <c r="AP72" s="353" t="n"/>
      <c r="AQ72" s="349" t="n"/>
      <c r="AR72" s="350" t="n"/>
      <c r="AS72" s="89" t="inlineStr">
        <is>
          <t>+</t>
        </is>
      </c>
    </row>
    <row r="73" ht="15.75" customHeight="1">
      <c r="A73" s="26" t="n"/>
      <c r="B73" s="351" t="n"/>
      <c r="C73" s="352" t="n"/>
      <c r="D73" s="254" t="n"/>
      <c r="E73" s="27" t="n"/>
      <c r="F73" s="27" t="n"/>
      <c r="G73" s="339" t="n"/>
      <c r="H73" s="340" t="n"/>
      <c r="I73" s="27" t="n"/>
      <c r="J73" s="144" t="inlineStr">
        <is>
          <t>Monto Pérdida Art. 90</t>
        </is>
      </c>
      <c r="K73" s="339" t="n"/>
      <c r="L73" s="339" t="n"/>
      <c r="M73" s="339" t="n"/>
      <c r="N73" s="339" t="n"/>
      <c r="O73" s="339" t="n"/>
      <c r="P73" s="339" t="n"/>
      <c r="Q73" s="340" t="n"/>
      <c r="R73" s="144" t="inlineStr">
        <is>
          <t>Base Imponible</t>
        </is>
      </c>
      <c r="S73" s="339" t="n"/>
      <c r="T73" s="339" t="n"/>
      <c r="U73" s="339" t="n"/>
      <c r="V73" s="339" t="n"/>
      <c r="W73" s="339" t="n"/>
      <c r="X73" s="339" t="n"/>
      <c r="Y73" s="339" t="n"/>
      <c r="Z73" s="340" t="n"/>
      <c r="AA73" s="144" t="inlineStr">
        <is>
          <t>Tasa</t>
        </is>
      </c>
      <c r="AB73" s="339" t="n"/>
      <c r="AC73" s="339" t="n"/>
      <c r="AD73" s="340" t="n"/>
      <c r="AE73" s="144" t="inlineStr">
        <is>
          <t xml:space="preserve">    Crédito</t>
        </is>
      </c>
      <c r="AF73" s="339" t="n"/>
      <c r="AG73" s="339" t="n"/>
      <c r="AH73" s="339" t="n"/>
      <c r="AI73" s="339" t="n"/>
      <c r="AJ73" s="339" t="n"/>
      <c r="AK73" s="339" t="n"/>
      <c r="AL73" s="339" t="n"/>
      <c r="AM73" s="340" t="n"/>
      <c r="AN73" s="395" t="inlineStr">
        <is>
          <t>PPM Neto Determinado</t>
        </is>
      </c>
      <c r="AO73" s="339" t="n"/>
      <c r="AP73" s="339" t="n"/>
      <c r="AQ73" s="339" t="n"/>
      <c r="AR73" s="340" t="n"/>
      <c r="AS73" s="27" t="n"/>
    </row>
    <row r="74" ht="18.75" customHeight="1">
      <c r="A74" s="8" t="n"/>
      <c r="B74" s="351" t="n"/>
      <c r="C74" s="352" t="n"/>
      <c r="D74" s="90" t="n">
        <v>52</v>
      </c>
      <c r="E74" s="374" t="inlineStr">
        <is>
          <t>PPM</t>
        </is>
      </c>
      <c r="F74" s="91" t="inlineStr">
        <is>
          <t>1ª Categoría Art. 84 a)</t>
        </is>
      </c>
      <c r="G74" s="48" t="n"/>
      <c r="H74" s="48" t="n"/>
      <c r="I74" s="175" t="n">
        <v>30</v>
      </c>
      <c r="J74" s="396" t="n"/>
      <c r="K74" s="349" t="n"/>
      <c r="L74" s="349" t="n"/>
      <c r="M74" s="349" t="n"/>
      <c r="N74" s="349" t="n"/>
      <c r="O74" s="349" t="n"/>
      <c r="P74" s="349" t="n"/>
      <c r="Q74" s="350" t="n"/>
      <c r="R74" s="153" t="n">
        <v>563</v>
      </c>
      <c r="S74" s="397">
        <f>'L. VENTAS'!C81</f>
        <v/>
      </c>
      <c r="T74" s="349" t="n"/>
      <c r="U74" s="349" t="n"/>
      <c r="V74" s="349" t="n"/>
      <c r="W74" s="349" t="n"/>
      <c r="X74" s="349" t="n"/>
      <c r="Y74" s="349" t="n"/>
      <c r="Z74" s="350" t="n"/>
      <c r="AA74" s="175" t="n">
        <v>115</v>
      </c>
      <c r="AB74" s="340" t="n"/>
      <c r="AC74" s="398">
        <f>'L. VENTAS'!A81</f>
        <v/>
      </c>
      <c r="AD74" s="350" t="n"/>
      <c r="AE74" s="175" t="n">
        <v>68</v>
      </c>
      <c r="AF74" s="340" t="n"/>
      <c r="AG74" s="399" t="n"/>
      <c r="AH74" s="349" t="n"/>
      <c r="AI74" s="349" t="n"/>
      <c r="AJ74" s="349" t="n"/>
      <c r="AK74" s="349" t="n"/>
      <c r="AL74" s="349" t="n"/>
      <c r="AM74" s="350" t="n"/>
      <c r="AN74" s="155" t="n">
        <v>62</v>
      </c>
      <c r="AO74" s="340" t="n"/>
      <c r="AP74" s="400">
        <f>'L. VENTAS'!D81</f>
        <v/>
      </c>
      <c r="AQ74" s="339" t="n"/>
      <c r="AR74" s="340" t="n"/>
      <c r="AS74" s="89" t="inlineStr">
        <is>
          <t>+</t>
        </is>
      </c>
    </row>
    <row r="75" ht="18.75" customHeight="1">
      <c r="A75" s="8" t="n"/>
      <c r="B75" s="351" t="n"/>
      <c r="C75" s="352" t="n"/>
      <c r="D75" s="195" t="n">
        <v>53</v>
      </c>
      <c r="E75" s="355" t="n"/>
      <c r="F75" s="93" t="inlineStr">
        <is>
          <t>Mineros, Art. 84 a)</t>
        </is>
      </c>
      <c r="G75" s="20" t="n"/>
      <c r="H75" s="20" t="n"/>
      <c r="I75" s="175" t="n">
        <v>565</v>
      </c>
      <c r="J75" s="396" t="n"/>
      <c r="K75" s="349" t="n"/>
      <c r="L75" s="349" t="n"/>
      <c r="M75" s="349" t="n"/>
      <c r="N75" s="349" t="n"/>
      <c r="O75" s="349" t="n"/>
      <c r="P75" s="349" t="n"/>
      <c r="Q75" s="350" t="n"/>
      <c r="R75" s="175" t="n">
        <v>120</v>
      </c>
      <c r="S75" s="401" t="n"/>
      <c r="T75" s="349" t="n"/>
      <c r="U75" s="349" t="n"/>
      <c r="V75" s="349" t="n"/>
      <c r="W75" s="349" t="n"/>
      <c r="X75" s="349" t="n"/>
      <c r="Y75" s="349" t="n"/>
      <c r="Z75" s="350" t="n"/>
      <c r="AA75" s="175" t="n">
        <v>542</v>
      </c>
      <c r="AB75" s="340" t="n"/>
      <c r="AC75" s="398" t="n"/>
      <c r="AD75" s="350" t="n"/>
      <c r="AE75" s="175" t="n">
        <v>122</v>
      </c>
      <c r="AF75" s="340" t="n"/>
      <c r="AG75" s="399" t="n"/>
      <c r="AH75" s="349" t="n"/>
      <c r="AI75" s="349" t="n"/>
      <c r="AJ75" s="349" t="n"/>
      <c r="AK75" s="349" t="n"/>
      <c r="AL75" s="349" t="n"/>
      <c r="AM75" s="350" t="n"/>
      <c r="AN75" s="155" t="n">
        <v>123</v>
      </c>
      <c r="AO75" s="340" t="n"/>
      <c r="AP75" s="353" t="n"/>
      <c r="AQ75" s="349" t="n"/>
      <c r="AR75" s="350" t="n"/>
      <c r="AS75" s="89" t="inlineStr">
        <is>
          <t>+</t>
        </is>
      </c>
    </row>
    <row r="76" ht="18.75" customHeight="1">
      <c r="A76" s="8" t="n"/>
      <c r="B76" s="351" t="n"/>
      <c r="C76" s="352" t="n"/>
      <c r="D76" s="195" t="n">
        <v>54</v>
      </c>
      <c r="E76" s="355" t="n"/>
      <c r="F76" s="93" t="inlineStr">
        <is>
          <t>Exportador Minero Art. 84 h)</t>
        </is>
      </c>
      <c r="G76" s="20" t="n"/>
      <c r="H76" s="20" t="n"/>
      <c r="I76" s="175" t="n">
        <v>700</v>
      </c>
      <c r="J76" s="396" t="n"/>
      <c r="K76" s="349" t="n"/>
      <c r="L76" s="349" t="n"/>
      <c r="M76" s="349" t="n"/>
      <c r="N76" s="349" t="n"/>
      <c r="O76" s="349" t="n"/>
      <c r="P76" s="349" t="n"/>
      <c r="Q76" s="350" t="n"/>
      <c r="R76" s="175" t="n">
        <v>701</v>
      </c>
      <c r="S76" s="401" t="n"/>
      <c r="T76" s="349" t="n"/>
      <c r="U76" s="349" t="n"/>
      <c r="V76" s="349" t="n"/>
      <c r="W76" s="349" t="n"/>
      <c r="X76" s="349" t="n"/>
      <c r="Y76" s="349" t="n"/>
      <c r="Z76" s="350" t="n"/>
      <c r="AA76" s="175" t="n">
        <v>702</v>
      </c>
      <c r="AB76" s="340" t="n"/>
      <c r="AC76" s="398" t="n"/>
      <c r="AD76" s="350" t="n"/>
      <c r="AE76" s="175" t="n">
        <v>711</v>
      </c>
      <c r="AF76" s="340" t="n"/>
      <c r="AG76" s="399" t="n"/>
      <c r="AH76" s="349" t="n"/>
      <c r="AI76" s="349" t="n"/>
      <c r="AJ76" s="349" t="n"/>
      <c r="AK76" s="349" t="n"/>
      <c r="AL76" s="349" t="n"/>
      <c r="AM76" s="350" t="n"/>
      <c r="AN76" s="155" t="n">
        <v>703</v>
      </c>
      <c r="AO76" s="340" t="n"/>
      <c r="AP76" s="353" t="n"/>
      <c r="AQ76" s="349" t="n"/>
      <c r="AR76" s="350" t="n"/>
      <c r="AS76" s="89" t="inlineStr">
        <is>
          <t>+</t>
        </is>
      </c>
    </row>
    <row r="77" ht="18.75" customHeight="1">
      <c r="A77" s="8" t="n"/>
      <c r="B77" s="351" t="n"/>
      <c r="C77" s="352" t="n"/>
      <c r="D77" s="195" t="n">
        <v>55</v>
      </c>
      <c r="E77" s="355" t="n"/>
      <c r="F77" s="166" t="inlineStr">
        <is>
          <t>Transportistas acogidos a Renta Presunta, Art. 84 e) y f) (tasa de 0,3%)</t>
        </is>
      </c>
      <c r="G77" s="339" t="n"/>
      <c r="H77" s="339" t="n"/>
      <c r="I77" s="339" t="n"/>
      <c r="J77" s="339" t="n"/>
      <c r="K77" s="339" t="n"/>
      <c r="L77" s="339" t="n"/>
      <c r="M77" s="339" t="n"/>
      <c r="N77" s="339" t="n"/>
      <c r="O77" s="339" t="n"/>
      <c r="P77" s="339" t="n"/>
      <c r="Q77" s="339" t="n"/>
      <c r="R77" s="339" t="n"/>
      <c r="S77" s="339" t="n"/>
      <c r="T77" s="339" t="n"/>
      <c r="U77" s="339" t="n"/>
      <c r="V77" s="339" t="n"/>
      <c r="W77" s="339" t="n"/>
      <c r="X77" s="339" t="n"/>
      <c r="Y77" s="339" t="n"/>
      <c r="Z77" s="339" t="n"/>
      <c r="AA77" s="339" t="n"/>
      <c r="AB77" s="339" t="n"/>
      <c r="AC77" s="339" t="n"/>
      <c r="AD77" s="339" t="n"/>
      <c r="AE77" s="339" t="n"/>
      <c r="AF77" s="339" t="n"/>
      <c r="AG77" s="339" t="n"/>
      <c r="AH77" s="339" t="n"/>
      <c r="AI77" s="339" t="n"/>
      <c r="AJ77" s="339" t="n"/>
      <c r="AK77" s="339" t="n"/>
      <c r="AL77" s="339" t="n"/>
      <c r="AM77" s="340" t="n"/>
      <c r="AN77" s="155" t="n">
        <v>66</v>
      </c>
      <c r="AO77" s="340" t="n"/>
      <c r="AP77" s="353" t="n"/>
      <c r="AQ77" s="349" t="n"/>
      <c r="AR77" s="350" t="n"/>
      <c r="AS77" s="89" t="inlineStr">
        <is>
          <t>+</t>
        </is>
      </c>
    </row>
    <row r="78" ht="18.75" customHeight="1">
      <c r="A78" s="8" t="n"/>
      <c r="B78" s="351" t="n"/>
      <c r="C78" s="352" t="n"/>
      <c r="D78" s="231" t="n">
        <v>56</v>
      </c>
      <c r="E78" s="355" t="n"/>
      <c r="F78" s="402" t="inlineStr">
        <is>
          <t>Crédito Capacitación</t>
        </is>
      </c>
      <c r="G78" s="403" t="n"/>
      <c r="H78" s="404" t="n"/>
      <c r="I78" s="278" t="inlineStr">
        <is>
          <t>Crédito del mes</t>
        </is>
      </c>
      <c r="J78" s="382" t="n"/>
      <c r="K78" s="382" t="n"/>
      <c r="L78" s="382" t="n"/>
      <c r="M78" s="382" t="n"/>
      <c r="N78" s="382" t="n"/>
      <c r="O78" s="382" t="n"/>
      <c r="P78" s="382" t="n"/>
      <c r="Q78" s="383" t="n"/>
      <c r="R78" s="278" t="inlineStr">
        <is>
          <t>Remanente mes Anterior</t>
        </is>
      </c>
      <c r="S78" s="382" t="n"/>
      <c r="T78" s="382" t="n"/>
      <c r="U78" s="382" t="n"/>
      <c r="V78" s="382" t="n"/>
      <c r="W78" s="382" t="n"/>
      <c r="X78" s="382" t="n"/>
      <c r="Y78" s="382" t="n"/>
      <c r="Z78" s="383" t="n"/>
      <c r="AA78" s="278" t="inlineStr">
        <is>
          <t>Remanente Período sgte</t>
        </is>
      </c>
      <c r="AB78" s="382" t="n"/>
      <c r="AC78" s="382" t="n"/>
      <c r="AD78" s="382" t="n"/>
      <c r="AE78" s="382" t="n"/>
      <c r="AF78" s="382" t="n"/>
      <c r="AG78" s="383" t="n"/>
      <c r="AH78" s="278" t="n"/>
      <c r="AI78" s="382" t="n"/>
      <c r="AJ78" s="382" t="n"/>
      <c r="AK78" s="382" t="n"/>
      <c r="AL78" s="382" t="n"/>
      <c r="AM78" s="383" t="n"/>
      <c r="AN78" s="146" t="n"/>
      <c r="AO78" s="340" t="n"/>
      <c r="AP78" s="353" t="n"/>
      <c r="AQ78" s="349" t="n"/>
      <c r="AR78" s="350" t="n"/>
      <c r="AS78" s="24" t="n"/>
    </row>
    <row r="79" ht="18.75" customHeight="1">
      <c r="A79" s="8" t="n"/>
      <c r="B79" s="351" t="n"/>
      <c r="C79" s="352" t="n"/>
      <c r="D79" s="355" t="n"/>
      <c r="E79" s="355" t="n"/>
      <c r="F79" s="405" t="inlineStr">
        <is>
          <t>Ley 19.518/97</t>
        </is>
      </c>
      <c r="G79" s="406" t="n"/>
      <c r="H79" s="407" t="n"/>
      <c r="I79" s="175" t="n">
        <v>721</v>
      </c>
      <c r="J79" s="99" t="n"/>
      <c r="K79" s="99" t="n"/>
      <c r="L79" s="99" t="n"/>
      <c r="M79" s="99" t="n"/>
      <c r="N79" s="99" t="n"/>
      <c r="O79" s="99" t="n"/>
      <c r="P79" s="99" t="n"/>
      <c r="Q79" s="99" t="n"/>
      <c r="R79" s="278" t="n">
        <v>722</v>
      </c>
      <c r="S79" s="99" t="n"/>
      <c r="T79" s="99" t="n"/>
      <c r="U79" s="99" t="n"/>
      <c r="V79" s="99" t="n"/>
      <c r="W79" s="99" t="n"/>
      <c r="X79" s="99" t="n"/>
      <c r="Y79" s="99" t="n"/>
      <c r="Z79" s="99" t="n"/>
      <c r="AA79" s="278" t="n">
        <v>724</v>
      </c>
      <c r="AB79" s="383" t="n"/>
      <c r="AC79" s="99" t="n"/>
      <c r="AD79" s="99" t="n"/>
      <c r="AE79" s="99" t="n"/>
      <c r="AF79" s="99" t="n"/>
      <c r="AG79" s="99" t="n"/>
      <c r="AH79" s="287" t="inlineStr">
        <is>
          <t>Crédito a imutar</t>
        </is>
      </c>
      <c r="AI79" s="403" t="n"/>
      <c r="AJ79" s="403" t="n"/>
      <c r="AK79" s="403" t="n"/>
      <c r="AL79" s="403" t="n"/>
      <c r="AM79" s="404" t="n"/>
      <c r="AN79" s="155" t="n">
        <v>723</v>
      </c>
      <c r="AO79" s="340" t="n"/>
      <c r="AP79" s="353" t="n"/>
      <c r="AQ79" s="349" t="n"/>
      <c r="AR79" s="350" t="n"/>
      <c r="AS79" s="89" t="inlineStr">
        <is>
          <t>-</t>
        </is>
      </c>
    </row>
    <row r="80" ht="18.75" customHeight="1">
      <c r="A80" s="8" t="n"/>
      <c r="B80" s="351" t="n"/>
      <c r="C80" s="352" t="n"/>
      <c r="D80" s="195" t="n">
        <v>57</v>
      </c>
      <c r="E80" s="355" t="n"/>
      <c r="F80" s="166" t="inlineStr">
        <is>
          <t>2ª Categoría Art. 84, b) (tasa 10%)</t>
        </is>
      </c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339" t="n"/>
      <c r="U80" s="339" t="n"/>
      <c r="V80" s="339" t="n"/>
      <c r="W80" s="339" t="n"/>
      <c r="X80" s="339" t="n"/>
      <c r="Y80" s="339" t="n"/>
      <c r="Z80" s="339" t="n"/>
      <c r="AA80" s="339" t="n"/>
      <c r="AB80" s="339" t="n"/>
      <c r="AC80" s="339" t="n"/>
      <c r="AD80" s="339" t="n"/>
      <c r="AE80" s="339" t="n"/>
      <c r="AF80" s="339" t="n"/>
      <c r="AG80" s="339" t="n"/>
      <c r="AH80" s="339" t="n"/>
      <c r="AI80" s="339" t="n"/>
      <c r="AJ80" s="339" t="n"/>
      <c r="AK80" s="339" t="n"/>
      <c r="AL80" s="339" t="n"/>
      <c r="AM80" s="340" t="n"/>
      <c r="AN80" s="155" t="n">
        <v>152</v>
      </c>
      <c r="AO80" s="340" t="n"/>
      <c r="AP80" s="353" t="n"/>
      <c r="AQ80" s="349" t="n"/>
      <c r="AR80" s="350" t="n"/>
      <c r="AS80" s="89" t="inlineStr">
        <is>
          <t>+</t>
        </is>
      </c>
    </row>
    <row r="81" ht="18.75" customHeight="1">
      <c r="A81" s="8" t="n"/>
      <c r="B81" s="344" t="n"/>
      <c r="C81" s="346" t="n"/>
      <c r="D81" s="195" t="n">
        <v>58</v>
      </c>
      <c r="E81" s="347" t="n"/>
      <c r="F81" s="166" t="inlineStr">
        <is>
          <t>Taller artesanal Art. 84, c) (tasa de 1,5% ó 3%)</t>
        </is>
      </c>
      <c r="G81" s="339" t="n"/>
      <c r="H81" s="339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39" t="n"/>
      <c r="Z81" s="339" t="n"/>
      <c r="AA81" s="339" t="n"/>
      <c r="AB81" s="339" t="n"/>
      <c r="AC81" s="339" t="n"/>
      <c r="AD81" s="339" t="n"/>
      <c r="AE81" s="339" t="n"/>
      <c r="AF81" s="339" t="n"/>
      <c r="AG81" s="339" t="n"/>
      <c r="AH81" s="339" t="n"/>
      <c r="AI81" s="339" t="n"/>
      <c r="AJ81" s="339" t="n"/>
      <c r="AK81" s="339" t="n"/>
      <c r="AL81" s="339" t="n"/>
      <c r="AM81" s="340" t="n"/>
      <c r="AN81" s="155" t="n">
        <v>70</v>
      </c>
      <c r="AO81" s="340" t="n"/>
      <c r="AP81" s="353" t="n"/>
      <c r="AQ81" s="349" t="n"/>
      <c r="AR81" s="350" t="n"/>
      <c r="AS81" s="89" t="inlineStr">
        <is>
          <t>+</t>
        </is>
      </c>
    </row>
    <row r="82" ht="15.75" customHeight="1">
      <c r="A82" s="8" t="n"/>
      <c r="B82" s="9" t="n"/>
      <c r="C82" s="9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11" t="n"/>
      <c r="X82" s="11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9" t="n"/>
    </row>
    <row r="83" ht="18.75" customHeight="1">
      <c r="A83" s="8" t="n"/>
      <c r="B83" s="9" t="n"/>
      <c r="C83" s="9" t="n"/>
      <c r="D83" s="146" t="n">
        <v>59</v>
      </c>
      <c r="E83" s="144" t="inlineStr">
        <is>
          <t>SUB TOTAL IMPUESTO DETERMINADO ANVERSO. (Suma de las líneas 33 a 46, columna Impuesto y/o PPM determinado)</t>
        </is>
      </c>
      <c r="F83" s="339" t="n"/>
      <c r="G83" s="339" t="n"/>
      <c r="H83" s="339" t="n"/>
      <c r="I83" s="339" t="n"/>
      <c r="J83" s="339" t="n"/>
      <c r="K83" s="339" t="n"/>
      <c r="L83" s="339" t="n"/>
      <c r="M83" s="339" t="n"/>
      <c r="N83" s="339" t="n"/>
      <c r="O83" s="339" t="n"/>
      <c r="P83" s="339" t="n"/>
      <c r="Q83" s="339" t="n"/>
      <c r="R83" s="339" t="n"/>
      <c r="S83" s="339" t="n"/>
      <c r="T83" s="339" t="n"/>
      <c r="U83" s="339" t="n"/>
      <c r="V83" s="339" t="n"/>
      <c r="W83" s="339" t="n"/>
      <c r="X83" s="339" t="n"/>
      <c r="Y83" s="339" t="n"/>
      <c r="Z83" s="339" t="n"/>
      <c r="AA83" s="339" t="n"/>
      <c r="AB83" s="339" t="n"/>
      <c r="AC83" s="339" t="n"/>
      <c r="AD83" s="339" t="n"/>
      <c r="AE83" s="339" t="n"/>
      <c r="AF83" s="339" t="n"/>
      <c r="AG83" s="339" t="n"/>
      <c r="AH83" s="339" t="n"/>
      <c r="AI83" s="339" t="n"/>
      <c r="AJ83" s="339" t="n"/>
      <c r="AK83" s="339" t="n"/>
      <c r="AL83" s="339" t="n"/>
      <c r="AM83" s="340" t="n"/>
      <c r="AN83" s="146" t="n">
        <v>595</v>
      </c>
      <c r="AO83" s="340" t="n"/>
      <c r="AP83" s="400">
        <f>AP63+AP74</f>
        <v/>
      </c>
      <c r="AQ83" s="339" t="n"/>
      <c r="AR83" s="340" t="n"/>
      <c r="AS83" s="24" t="inlineStr">
        <is>
          <t>=</t>
        </is>
      </c>
    </row>
    <row r="84" ht="15.75" customHeight="1">
      <c r="A84" s="8" t="n"/>
      <c r="B84" s="9" t="n"/>
      <c r="C84" s="9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11" t="n"/>
      <c r="X84" s="11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348" t="n"/>
      <c r="AS84" s="9" t="n"/>
    </row>
    <row r="85" ht="15.75" customHeight="1">
      <c r="A85" s="8" t="n"/>
      <c r="B85" s="390" t="inlineStr">
        <is>
          <t xml:space="preserve">Si no declara Tributación Simplificada, Impuesto Adicional (Art. 37 o Art. 42), Cotización Adicional, Crédito Especial Empresas Constructoras, Recuperación de Peaje Transportistas de Pasajeros o Cambio de Sujeto; traslade el valor a línea 47 (código 595) </t>
        </is>
      </c>
      <c r="C85" s="341" t="n"/>
      <c r="D85" s="341" t="n"/>
      <c r="E85" s="341" t="n"/>
      <c r="F85" s="341" t="n"/>
      <c r="G85" s="341" t="n"/>
      <c r="H85" s="341" t="n"/>
      <c r="I85" s="341" t="n"/>
      <c r="J85" s="341" t="n"/>
      <c r="K85" s="341" t="n"/>
      <c r="L85" s="341" t="n"/>
      <c r="M85" s="341" t="n"/>
      <c r="N85" s="341" t="n"/>
      <c r="O85" s="341" t="n"/>
      <c r="P85" s="341" t="n"/>
      <c r="Q85" s="341" t="n"/>
      <c r="R85" s="341" t="n"/>
      <c r="S85" s="341" t="n"/>
      <c r="T85" s="341" t="n"/>
      <c r="U85" s="341" t="n"/>
      <c r="V85" s="341" t="n"/>
      <c r="W85" s="341" t="n"/>
      <c r="X85" s="341" t="n"/>
      <c r="Y85" s="341" t="n"/>
      <c r="Z85" s="341" t="n"/>
      <c r="AA85" s="341" t="n"/>
      <c r="AB85" s="341" t="n"/>
      <c r="AC85" s="341" t="n"/>
      <c r="AD85" s="341" t="n"/>
      <c r="AE85" s="341" t="n"/>
      <c r="AF85" s="341" t="n"/>
      <c r="AG85" s="341" t="n"/>
      <c r="AH85" s="341" t="n"/>
      <c r="AI85" s="341" t="n"/>
      <c r="AJ85" s="341" t="n"/>
      <c r="AK85" s="341" t="n"/>
      <c r="AL85" s="341" t="n"/>
      <c r="AM85" s="341" t="n"/>
      <c r="AN85" s="341" t="n"/>
      <c r="AO85" s="341" t="n"/>
      <c r="AP85" s="341" t="n"/>
      <c r="AQ85" s="341" t="n"/>
      <c r="AR85" s="341" t="n"/>
      <c r="AS85" s="342" t="n"/>
    </row>
    <row r="86" ht="15.75" customHeight="1">
      <c r="A86" s="8" t="n"/>
      <c r="B86" s="344" t="n"/>
      <c r="C86" s="345" t="n"/>
      <c r="D86" s="345" t="n"/>
      <c r="E86" s="345" t="n"/>
      <c r="F86" s="345" t="n"/>
      <c r="G86" s="345" t="n"/>
      <c r="H86" s="345" t="n"/>
      <c r="I86" s="345" t="n"/>
      <c r="J86" s="345" t="n"/>
      <c r="K86" s="345" t="n"/>
      <c r="L86" s="345" t="n"/>
      <c r="M86" s="345" t="n"/>
      <c r="N86" s="345" t="n"/>
      <c r="O86" s="345" t="n"/>
      <c r="P86" s="345" t="n"/>
      <c r="Q86" s="345" t="n"/>
      <c r="R86" s="345" t="n"/>
      <c r="S86" s="345" t="n"/>
      <c r="T86" s="345" t="n"/>
      <c r="U86" s="345" t="n"/>
      <c r="V86" s="345" t="n"/>
      <c r="W86" s="345" t="n"/>
      <c r="X86" s="345" t="n"/>
      <c r="Y86" s="345" t="n"/>
      <c r="Z86" s="345" t="n"/>
      <c r="AA86" s="345" t="n"/>
      <c r="AB86" s="345" t="n"/>
      <c r="AC86" s="345" t="n"/>
      <c r="AD86" s="345" t="n"/>
      <c r="AE86" s="345" t="n"/>
      <c r="AF86" s="345" t="n"/>
      <c r="AG86" s="345" t="n"/>
      <c r="AH86" s="345" t="n"/>
      <c r="AI86" s="345" t="n"/>
      <c r="AJ86" s="345" t="n"/>
      <c r="AK86" s="345" t="n"/>
      <c r="AL86" s="345" t="n"/>
      <c r="AM86" s="345" t="n"/>
      <c r="AN86" s="345" t="n"/>
      <c r="AO86" s="345" t="n"/>
      <c r="AP86" s="345" t="n"/>
      <c r="AQ86" s="345" t="n"/>
      <c r="AR86" s="345" t="n"/>
      <c r="AS86" s="346" t="n"/>
    </row>
    <row r="87" ht="15.75" customHeight="1">
      <c r="A87" s="8" t="n"/>
      <c r="B87" s="29" t="inlineStr">
        <is>
          <t>01</t>
        </is>
      </c>
      <c r="C87" s="340" t="n"/>
      <c r="D87" s="144" t="inlineStr">
        <is>
          <t xml:space="preserve">      Apellido Paterno o Razón Social</t>
        </is>
      </c>
      <c r="E87" s="339" t="n"/>
      <c r="F87" s="339" t="n"/>
      <c r="G87" s="339" t="n"/>
      <c r="H87" s="339" t="n"/>
      <c r="I87" s="339" t="n"/>
      <c r="J87" s="339" t="n"/>
      <c r="K87" s="339" t="n"/>
      <c r="L87" s="339" t="n"/>
      <c r="M87" s="339" t="n"/>
      <c r="N87" s="339" t="n"/>
      <c r="O87" s="339" t="n"/>
      <c r="P87" s="339" t="n"/>
      <c r="Q87" s="340" t="n"/>
      <c r="R87" s="29" t="inlineStr">
        <is>
          <t>02</t>
        </is>
      </c>
      <c r="S87" s="144" t="inlineStr">
        <is>
          <t xml:space="preserve"> Apellido Materno</t>
        </is>
      </c>
      <c r="T87" s="339" t="n"/>
      <c r="U87" s="339" t="n"/>
      <c r="V87" s="339" t="n"/>
      <c r="W87" s="339" t="n"/>
      <c r="X87" s="339" t="n"/>
      <c r="Y87" s="339" t="n"/>
      <c r="Z87" s="339" t="n"/>
      <c r="AA87" s="339" t="n"/>
      <c r="AB87" s="339" t="n"/>
      <c r="AC87" s="339" t="n"/>
      <c r="AD87" s="339" t="n"/>
      <c r="AE87" s="339" t="n"/>
      <c r="AF87" s="339" t="n"/>
      <c r="AG87" s="339" t="n"/>
      <c r="AH87" s="340" t="n"/>
      <c r="AI87" s="29" t="inlineStr">
        <is>
          <t>05</t>
        </is>
      </c>
      <c r="AJ87" s="395" t="inlineStr">
        <is>
          <t>Nombres</t>
        </is>
      </c>
      <c r="AK87" s="339" t="n"/>
      <c r="AL87" s="339" t="n"/>
      <c r="AM87" s="339" t="n"/>
      <c r="AN87" s="339" t="n"/>
      <c r="AO87" s="339" t="n"/>
      <c r="AP87" s="339" t="n"/>
      <c r="AQ87" s="339" t="n"/>
      <c r="AR87" s="339" t="n"/>
      <c r="AS87" s="340" t="n"/>
    </row>
    <row r="88" ht="23.25" customHeight="1">
      <c r="A88" s="8" t="n"/>
      <c r="B88" s="408" t="inlineStr">
        <is>
          <t>Silvestres del Ñuble SpA (ficticia)</t>
        </is>
      </c>
      <c r="C88" s="349" t="n"/>
      <c r="D88" s="349" t="n"/>
      <c r="E88" s="349" t="n"/>
      <c r="F88" s="349" t="n"/>
      <c r="G88" s="349" t="n"/>
      <c r="H88" s="349" t="n"/>
      <c r="I88" s="349" t="n"/>
      <c r="J88" s="349" t="n"/>
      <c r="K88" s="349" t="n"/>
      <c r="L88" s="349" t="n"/>
      <c r="M88" s="349" t="n"/>
      <c r="N88" s="349" t="n"/>
      <c r="O88" s="349" t="n"/>
      <c r="P88" s="349" t="n"/>
      <c r="Q88" s="349" t="n"/>
      <c r="R88" s="349" t="n"/>
      <c r="S88" s="349" t="n"/>
      <c r="T88" s="349" t="n"/>
      <c r="U88" s="349" t="n"/>
      <c r="V88" s="349" t="n"/>
      <c r="W88" s="349" t="n"/>
      <c r="X88" s="349" t="n"/>
      <c r="Y88" s="349" t="n"/>
      <c r="Z88" s="349" t="n"/>
      <c r="AA88" s="349" t="n"/>
      <c r="AB88" s="349" t="n"/>
      <c r="AC88" s="349" t="n"/>
      <c r="AD88" s="349" t="n"/>
      <c r="AE88" s="349" t="n"/>
      <c r="AF88" s="349" t="n"/>
      <c r="AG88" s="349" t="n"/>
      <c r="AH88" s="349" t="n"/>
      <c r="AI88" s="349" t="n"/>
      <c r="AJ88" s="349" t="n"/>
      <c r="AK88" s="349" t="n"/>
      <c r="AL88" s="349" t="n"/>
      <c r="AM88" s="349" t="n"/>
      <c r="AN88" s="349" t="n"/>
      <c r="AO88" s="349" t="n"/>
      <c r="AP88" s="349" t="n"/>
      <c r="AQ88" s="349" t="n"/>
      <c r="AR88" s="349" t="n"/>
      <c r="AS88" s="350" t="n"/>
    </row>
    <row r="89" ht="15.75" customHeight="1">
      <c r="A89" s="8" t="n"/>
      <c r="B89" s="144" t="inlineStr">
        <is>
          <t>Cambia datos de Domicilio</t>
        </is>
      </c>
      <c r="C89" s="341" t="n"/>
      <c r="D89" s="341" t="n"/>
      <c r="E89" s="341" t="n"/>
      <c r="F89" s="341" t="n"/>
      <c r="G89" s="341" t="n"/>
      <c r="H89" s="341" t="n"/>
      <c r="I89" s="341" t="n"/>
      <c r="J89" s="342" t="n"/>
      <c r="K89" s="146" t="n">
        <v>583</v>
      </c>
      <c r="L89" s="409" t="n"/>
      <c r="M89" s="410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11" t="n"/>
      <c r="X89" s="11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146" t="inlineStr">
        <is>
          <t xml:space="preserve">             Viene de línea 47 código 595, ó línea 89 código 547</t>
        </is>
      </c>
      <c r="AL89" s="341" t="n"/>
      <c r="AM89" s="341" t="n"/>
      <c r="AN89" s="341" t="n"/>
      <c r="AO89" s="341" t="n"/>
      <c r="AP89" s="341" t="n"/>
      <c r="AQ89" s="341" t="n"/>
      <c r="AR89" s="341" t="n"/>
      <c r="AS89" s="342" t="n"/>
    </row>
    <row r="90" ht="15.75" customHeight="1">
      <c r="A90" s="8" t="n"/>
      <c r="B90" s="344" t="n"/>
      <c r="C90" s="345" t="n"/>
      <c r="D90" s="345" t="n"/>
      <c r="E90" s="345" t="n"/>
      <c r="F90" s="345" t="n"/>
      <c r="G90" s="345" t="n"/>
      <c r="H90" s="345" t="n"/>
      <c r="I90" s="345" t="n"/>
      <c r="J90" s="346" t="n"/>
      <c r="K90" s="347" t="n"/>
      <c r="L90" s="411" t="n"/>
      <c r="M90" s="412" t="n"/>
      <c r="N90" s="8" t="inlineStr">
        <is>
          <t>(Si marca con X el casillero, registre los cambios al reverso)</t>
        </is>
      </c>
      <c r="O90" s="8" t="n"/>
      <c r="P90" s="8" t="n"/>
      <c r="Q90" s="8" t="n"/>
      <c r="R90" s="8" t="n"/>
      <c r="S90" s="8" t="n"/>
      <c r="T90" s="8" t="n"/>
      <c r="U90" s="8" t="n"/>
      <c r="V90" s="8" t="n"/>
      <c r="W90" s="11" t="n"/>
      <c r="X90" s="11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344" t="n"/>
      <c r="AL90" s="345" t="n"/>
      <c r="AM90" s="345" t="n"/>
      <c r="AN90" s="345" t="n"/>
      <c r="AO90" s="345" t="n"/>
      <c r="AP90" s="345" t="n"/>
      <c r="AQ90" s="345" t="n"/>
      <c r="AR90" s="345" t="n"/>
      <c r="AS90" s="346" t="n"/>
    </row>
    <row r="91" ht="15.75" customHeight="1">
      <c r="A91" s="8" t="n"/>
      <c r="B91" s="9" t="n"/>
      <c r="C91" s="9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11" t="n"/>
      <c r="X91" s="11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348" t="n"/>
      <c r="AS91" s="9" t="n"/>
    </row>
    <row r="92" ht="18.75" customHeight="1">
      <c r="A92" s="8" t="n"/>
      <c r="B92" s="390" t="inlineStr">
        <is>
          <t>Declaro bajo juramento que los datos contenidos en esta declaración son la expresión fiel de la verdad, por lo que asumo la responsabilidad correspondiente.</t>
        </is>
      </c>
      <c r="C92" s="341" t="n"/>
      <c r="D92" s="341" t="n"/>
      <c r="E92" s="341" t="n"/>
      <c r="F92" s="341" t="n"/>
      <c r="G92" s="341" t="n"/>
      <c r="H92" s="341" t="n"/>
      <c r="I92" s="341" t="n"/>
      <c r="J92" s="341" t="n"/>
      <c r="K92" s="341" t="n"/>
      <c r="L92" s="341" t="n"/>
      <c r="M92" s="341" t="n"/>
      <c r="N92" s="342" t="n"/>
      <c r="O92" s="8" t="n"/>
      <c r="P92" s="8" t="n"/>
      <c r="Q92" s="8" t="n"/>
      <c r="R92" s="175" t="n">
        <v>98</v>
      </c>
      <c r="S92" s="201" t="inlineStr">
        <is>
          <t>TOTAL A PAGAR DENTRO DEL PLAZO LEGAL</t>
        </is>
      </c>
      <c r="T92" s="339" t="n"/>
      <c r="U92" s="339" t="n"/>
      <c r="V92" s="339" t="n"/>
      <c r="W92" s="339" t="n"/>
      <c r="X92" s="339" t="n"/>
      <c r="Y92" s="339" t="n"/>
      <c r="Z92" s="339" t="n"/>
      <c r="AA92" s="339" t="n"/>
      <c r="AB92" s="339" t="n"/>
      <c r="AC92" s="339" t="n"/>
      <c r="AD92" s="339" t="n"/>
      <c r="AE92" s="339" t="n"/>
      <c r="AF92" s="339" t="n"/>
      <c r="AG92" s="339" t="n"/>
      <c r="AH92" s="339" t="n"/>
      <c r="AI92" s="339" t="n"/>
      <c r="AJ92" s="339" t="n"/>
      <c r="AK92" s="339" t="n"/>
      <c r="AL92" s="339" t="n"/>
      <c r="AM92" s="340" t="n"/>
      <c r="AN92" s="146" t="n">
        <v>91</v>
      </c>
      <c r="AO92" s="340" t="n"/>
      <c r="AP92" s="400">
        <f>AP83+AP100</f>
        <v/>
      </c>
      <c r="AQ92" s="339" t="n"/>
      <c r="AR92" s="340" t="n"/>
      <c r="AS92" s="24" t="inlineStr">
        <is>
          <t>=</t>
        </is>
      </c>
    </row>
    <row r="93" ht="18.75" customHeight="1">
      <c r="A93" s="8" t="n"/>
      <c r="B93" s="351" t="n"/>
      <c r="C93" s="392" t="n"/>
      <c r="D93" s="392" t="n"/>
      <c r="E93" s="392" t="n"/>
      <c r="F93" s="392" t="n"/>
      <c r="G93" s="392" t="n"/>
      <c r="H93" s="392" t="n"/>
      <c r="I93" s="392" t="n"/>
      <c r="J93" s="392" t="n"/>
      <c r="K93" s="392" t="n"/>
      <c r="L93" s="392" t="n"/>
      <c r="M93" s="392" t="n"/>
      <c r="N93" s="352" t="n"/>
      <c r="O93" s="8" t="n"/>
      <c r="P93" s="8" t="n"/>
      <c r="Q93" s="8" t="n"/>
      <c r="R93" s="175" t="n">
        <v>99</v>
      </c>
      <c r="S93" s="201" t="inlineStr">
        <is>
          <t>Más IPC</t>
        </is>
      </c>
      <c r="T93" s="339" t="n"/>
      <c r="U93" s="339" t="n"/>
      <c r="V93" s="339" t="n"/>
      <c r="W93" s="339" t="n"/>
      <c r="X93" s="339" t="n"/>
      <c r="Y93" s="339" t="n"/>
      <c r="Z93" s="339" t="n"/>
      <c r="AA93" s="339" t="n"/>
      <c r="AB93" s="339" t="n"/>
      <c r="AC93" s="339" t="n"/>
      <c r="AD93" s="339" t="n"/>
      <c r="AE93" s="339" t="n"/>
      <c r="AF93" s="339" t="n"/>
      <c r="AG93" s="339" t="n"/>
      <c r="AH93" s="339" t="n"/>
      <c r="AI93" s="339" t="n"/>
      <c r="AJ93" s="339" t="n"/>
      <c r="AK93" s="339" t="n"/>
      <c r="AL93" s="339" t="n"/>
      <c r="AM93" s="340" t="n"/>
      <c r="AN93" s="146" t="n">
        <v>92</v>
      </c>
      <c r="AO93" s="340" t="n"/>
      <c r="AP93" s="353" t="n"/>
      <c r="AQ93" s="349" t="n"/>
      <c r="AR93" s="350" t="n"/>
      <c r="AS93" s="24" t="inlineStr">
        <is>
          <t>+</t>
        </is>
      </c>
    </row>
    <row r="94" ht="18.75" customHeight="1">
      <c r="A94" s="8" t="n"/>
      <c r="B94" s="344" t="n"/>
      <c r="C94" s="345" t="n"/>
      <c r="D94" s="345" t="n"/>
      <c r="E94" s="345" t="n"/>
      <c r="F94" s="345" t="n"/>
      <c r="G94" s="345" t="n"/>
      <c r="H94" s="345" t="n"/>
      <c r="I94" s="345" t="n"/>
      <c r="J94" s="345" t="n"/>
      <c r="K94" s="345" t="n"/>
      <c r="L94" s="345" t="n"/>
      <c r="M94" s="345" t="n"/>
      <c r="N94" s="346" t="n"/>
      <c r="O94" s="8" t="n"/>
      <c r="P94" s="8" t="n"/>
      <c r="Q94" s="8" t="n"/>
      <c r="R94" s="175" t="n">
        <v>100</v>
      </c>
      <c r="S94" s="201" t="inlineStr">
        <is>
          <t>Más Intereses y Multas</t>
        </is>
      </c>
      <c r="T94" s="339" t="n"/>
      <c r="U94" s="339" t="n"/>
      <c r="V94" s="339" t="n"/>
      <c r="W94" s="339" t="n"/>
      <c r="X94" s="339" t="n"/>
      <c r="Y94" s="339" t="n"/>
      <c r="Z94" s="339" t="n"/>
      <c r="AA94" s="339" t="n"/>
      <c r="AB94" s="339" t="n"/>
      <c r="AC94" s="339" t="n"/>
      <c r="AD94" s="339" t="n"/>
      <c r="AE94" s="339" t="n"/>
      <c r="AF94" s="339" t="n"/>
      <c r="AG94" s="339" t="n"/>
      <c r="AH94" s="339" t="n"/>
      <c r="AI94" s="339" t="n"/>
      <c r="AJ94" s="339" t="n"/>
      <c r="AK94" s="339" t="n"/>
      <c r="AL94" s="339" t="n"/>
      <c r="AM94" s="340" t="n"/>
      <c r="AN94" s="146" t="n">
        <v>93</v>
      </c>
      <c r="AO94" s="340" t="n"/>
      <c r="AP94" s="353" t="n"/>
      <c r="AQ94" s="349" t="n"/>
      <c r="AR94" s="350" t="n"/>
      <c r="AS94" s="24" t="inlineStr">
        <is>
          <t>+</t>
        </is>
      </c>
    </row>
    <row r="95" ht="18.75" customHeight="1">
      <c r="A95" s="8" t="n"/>
      <c r="B95" s="9" t="n"/>
      <c r="C95" s="9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175" t="n">
        <v>101</v>
      </c>
      <c r="S95" s="201" t="inlineStr">
        <is>
          <t>TOTAL A PAGAR CON RECARGO</t>
        </is>
      </c>
      <c r="T95" s="339" t="n"/>
      <c r="U95" s="339" t="n"/>
      <c r="V95" s="339" t="n"/>
      <c r="W95" s="339" t="n"/>
      <c r="X95" s="339" t="n"/>
      <c r="Y95" s="339" t="n"/>
      <c r="Z95" s="339" t="n"/>
      <c r="AA95" s="339" t="n"/>
      <c r="AB95" s="339" t="n"/>
      <c r="AC95" s="339" t="n"/>
      <c r="AD95" s="339" t="n"/>
      <c r="AE95" s="339" t="n"/>
      <c r="AF95" s="339" t="n"/>
      <c r="AG95" s="339" t="n"/>
      <c r="AH95" s="339" t="n"/>
      <c r="AI95" s="339" t="n"/>
      <c r="AJ95" s="339" t="n"/>
      <c r="AK95" s="339" t="n"/>
      <c r="AL95" s="339" t="n"/>
      <c r="AM95" s="340" t="n"/>
      <c r="AN95" s="146" t="n">
        <v>94</v>
      </c>
      <c r="AO95" s="340" t="n"/>
      <c r="AP95" s="354" t="n"/>
      <c r="AQ95" s="339" t="n"/>
      <c r="AR95" s="340" t="n"/>
      <c r="AS95" s="24" t="inlineStr">
        <is>
          <t>=</t>
        </is>
      </c>
    </row>
    <row r="96">
      <c r="B96" s="336" t="inlineStr">
        <is>
          <t>REVERSO: CAMBIO DE SUJETO (agente retenedor)</t>
        </is>
      </c>
    </row>
    <row r="97">
      <c r="B97" t="inlineStr">
        <is>
          <t>[39] Retenciones de IVA a terceros con retención total (línea 118 en las instrucciones SII del 12-11-2024)</t>
        </is>
      </c>
      <c r="AP97" s="47">
        <f>'L. COMPRAS'!K31</f>
        <v/>
      </c>
    </row>
    <row r="98">
      <c r="B98" t="inlineStr">
        <is>
          <t>[554] Retenciones de IVA a terceros con retención parcial</t>
        </is>
      </c>
      <c r="AP98" s="47" t="n">
        <v>0</v>
      </c>
    </row>
    <row r="99">
      <c r="B99" t="inlineStr">
        <is>
          <t>[596] Total retenciones por cambio de sujeto (suma de los códigos 39, 554, 597 y 555, menos 736)</t>
        </is>
      </c>
    </row>
    <row r="100">
      <c r="B100" t="inlineStr">
        <is>
          <t>Se suma al IVA determinado y al PPM para obtener el total a pagar (código 91)</t>
        </is>
      </c>
      <c r="AP100" s="47">
        <f>AP97+AP98</f>
        <v/>
      </c>
    </row>
    <row r="102">
      <c r="B102" t="inlineStr">
        <is>
          <t>Amarillo: línea 5 (retención total, vendedor retenido), líneas 6 y 14 (retención parcial, vendedor retenido) y línea 25 (facturas de compra emitidas por el agente retenedor, con derecho a crédito: códigos 519 y 520). En las instrucciones SII del 12-11-2024 estas líneas son la 5, 6, 16 y 28.</t>
        </is>
      </c>
    </row>
  </sheetData>
  <mergeCells count="350">
    <mergeCell ref="Y39:AM39"/>
    <mergeCell ref="AP50:AR50"/>
    <mergeCell ref="F71:AM71"/>
    <mergeCell ref="AP45:AR45"/>
    <mergeCell ref="G21:V21"/>
    <mergeCell ref="E29:AM29"/>
    <mergeCell ref="AN12:AO12"/>
    <mergeCell ref="AN72:AO72"/>
    <mergeCell ref="Y32:AM32"/>
    <mergeCell ref="F68:AM68"/>
    <mergeCell ref="Y23:AM23"/>
    <mergeCell ref="AP13:AR13"/>
    <mergeCell ref="AN14:AO14"/>
    <mergeCell ref="AN70:AO70"/>
    <mergeCell ref="AP71:AR71"/>
    <mergeCell ref="W14:X14"/>
    <mergeCell ref="S93:AM93"/>
    <mergeCell ref="AP79:AR79"/>
    <mergeCell ref="L89:M90"/>
    <mergeCell ref="AN65:AO65"/>
    <mergeCell ref="G16:V16"/>
    <mergeCell ref="AN83:AO83"/>
    <mergeCell ref="Y16:AM16"/>
    <mergeCell ref="G9:V9"/>
    <mergeCell ref="AN25:AO25"/>
    <mergeCell ref="Y18:AM18"/>
    <mergeCell ref="E44:AM44"/>
    <mergeCell ref="G11:V11"/>
    <mergeCell ref="AP66:AR66"/>
    <mergeCell ref="AP28:AR28"/>
    <mergeCell ref="Y42:AM42"/>
    <mergeCell ref="AP68:AR68"/>
    <mergeCell ref="AP67:AR67"/>
    <mergeCell ref="AN38:AO38"/>
    <mergeCell ref="AN13:AO13"/>
    <mergeCell ref="E9:E24"/>
    <mergeCell ref="AN78:AO78"/>
    <mergeCell ref="J73:Q73"/>
    <mergeCell ref="AN80:AO80"/>
    <mergeCell ref="E47:AM47"/>
    <mergeCell ref="AC75:AD75"/>
    <mergeCell ref="D8:V8"/>
    <mergeCell ref="AE75:AF75"/>
    <mergeCell ref="AN79:AO79"/>
    <mergeCell ref="AP81:AR81"/>
    <mergeCell ref="AG63:AM63"/>
    <mergeCell ref="S92:AM92"/>
    <mergeCell ref="AP16:AR16"/>
    <mergeCell ref="W21:X21"/>
    <mergeCell ref="G17:V17"/>
    <mergeCell ref="S94:AM94"/>
    <mergeCell ref="AN93:AO93"/>
    <mergeCell ref="AP18:AR18"/>
    <mergeCell ref="G19:V19"/>
    <mergeCell ref="AN15:AS15"/>
    <mergeCell ref="E27:AM27"/>
    <mergeCell ref="H43:V43"/>
    <mergeCell ref="AN33:AS33"/>
    <mergeCell ref="R63:AF63"/>
    <mergeCell ref="AN28:AO28"/>
    <mergeCell ref="AP92:AR92"/>
    <mergeCell ref="G14:V14"/>
    <mergeCell ref="W10:X10"/>
    <mergeCell ref="AN92:AO92"/>
    <mergeCell ref="AP94:AR94"/>
    <mergeCell ref="AP69:AR69"/>
    <mergeCell ref="AP44:AR44"/>
    <mergeCell ref="F67:AM67"/>
    <mergeCell ref="F77:AM77"/>
    <mergeCell ref="J74:Q74"/>
    <mergeCell ref="B87:C87"/>
    <mergeCell ref="AN81:AO81"/>
    <mergeCell ref="AP72:AR72"/>
    <mergeCell ref="AP54:AR55"/>
    <mergeCell ref="AH28:AM28"/>
    <mergeCell ref="E65:E72"/>
    <mergeCell ref="B85:AS86"/>
    <mergeCell ref="H38:V38"/>
    <mergeCell ref="AP24:AR24"/>
    <mergeCell ref="T52:T53"/>
    <mergeCell ref="W23:X23"/>
    <mergeCell ref="AC51:AM51"/>
    <mergeCell ref="AP26:AR26"/>
    <mergeCell ref="H40:V40"/>
    <mergeCell ref="AS54:AS55"/>
    <mergeCell ref="AN34:AO34"/>
    <mergeCell ref="F72:AM72"/>
    <mergeCell ref="AP19:AR19"/>
    <mergeCell ref="K89:K90"/>
    <mergeCell ref="W24:X24"/>
    <mergeCell ref="AG74:AM74"/>
    <mergeCell ref="AN49:AO49"/>
    <mergeCell ref="G20:V20"/>
    <mergeCell ref="AN36:AO36"/>
    <mergeCell ref="AN29:AO29"/>
    <mergeCell ref="G22:V22"/>
    <mergeCell ref="AN94:AO94"/>
    <mergeCell ref="E63:O63"/>
    <mergeCell ref="AP77:AR77"/>
    <mergeCell ref="AN44:AO44"/>
    <mergeCell ref="U54:Z54"/>
    <mergeCell ref="E54:Q55"/>
    <mergeCell ref="AA73:AD73"/>
    <mergeCell ref="W42:X42"/>
    <mergeCell ref="F78:H78"/>
    <mergeCell ref="H35:V35"/>
    <mergeCell ref="E46:AM46"/>
    <mergeCell ref="AE74:AF74"/>
    <mergeCell ref="Y38:AM38"/>
    <mergeCell ref="AN54:AO55"/>
    <mergeCell ref="Y24:AM24"/>
    <mergeCell ref="AP63:AR63"/>
    <mergeCell ref="E56:AM56"/>
    <mergeCell ref="AN31:AS31"/>
    <mergeCell ref="E32:E43"/>
    <mergeCell ref="Y19:AM19"/>
    <mergeCell ref="W33:AM33"/>
    <mergeCell ref="AN62:AS62"/>
    <mergeCell ref="F15:V15"/>
    <mergeCell ref="AP27:AR27"/>
    <mergeCell ref="O5:S5"/>
    <mergeCell ref="AQ4:AQ5"/>
    <mergeCell ref="U52:Z52"/>
    <mergeCell ref="AP52:AR53"/>
    <mergeCell ref="W32:X32"/>
    <mergeCell ref="AN75:AO75"/>
    <mergeCell ref="AQ59:AS59"/>
    <mergeCell ref="D31:V31"/>
    <mergeCell ref="AA54:AB54"/>
    <mergeCell ref="AC54:AM54"/>
    <mergeCell ref="AP93:AR93"/>
    <mergeCell ref="AN39:AO39"/>
    <mergeCell ref="R73:Z73"/>
    <mergeCell ref="AG75:AM75"/>
    <mergeCell ref="AP9:AR9"/>
    <mergeCell ref="AA78:AG78"/>
    <mergeCell ref="AJ87:AS87"/>
    <mergeCell ref="J76:Q76"/>
    <mergeCell ref="H34:V34"/>
    <mergeCell ref="F66:AM66"/>
    <mergeCell ref="AP38:AR38"/>
    <mergeCell ref="Y21:AM21"/>
    <mergeCell ref="AE76:AF76"/>
    <mergeCell ref="B89:J90"/>
    <mergeCell ref="F79:H79"/>
    <mergeCell ref="H36:V36"/>
    <mergeCell ref="AP40:AR40"/>
    <mergeCell ref="W20:X20"/>
    <mergeCell ref="AS52:AS53"/>
    <mergeCell ref="AN63:AO63"/>
    <mergeCell ref="AN50:AO50"/>
    <mergeCell ref="AH79:AM79"/>
    <mergeCell ref="W22:X22"/>
    <mergeCell ref="AN27:AO27"/>
    <mergeCell ref="S74:Z74"/>
    <mergeCell ref="F16:F24"/>
    <mergeCell ref="S76:Z76"/>
    <mergeCell ref="Y9:AM9"/>
    <mergeCell ref="P28:S28"/>
    <mergeCell ref="Y11:AM11"/>
    <mergeCell ref="Y40:AM40"/>
    <mergeCell ref="W35:X35"/>
    <mergeCell ref="AP46:AR46"/>
    <mergeCell ref="B92:N94"/>
    <mergeCell ref="AP48:AR48"/>
    <mergeCell ref="F33:V33"/>
    <mergeCell ref="F69:AM69"/>
    <mergeCell ref="AP41:AR41"/>
    <mergeCell ref="AN71:AO71"/>
    <mergeCell ref="F38:F43"/>
    <mergeCell ref="AA75:AB75"/>
    <mergeCell ref="AP56:AR56"/>
    <mergeCell ref="AN58:AO58"/>
    <mergeCell ref="AP43:AR43"/>
    <mergeCell ref="AA79:AB79"/>
    <mergeCell ref="AN10:AO10"/>
    <mergeCell ref="AN66:AO66"/>
    <mergeCell ref="E25:AM25"/>
    <mergeCell ref="AN68:AO68"/>
    <mergeCell ref="U53:Z53"/>
    <mergeCell ref="G38:G41"/>
    <mergeCell ref="Y17:AM17"/>
    <mergeCell ref="R51:Z51"/>
    <mergeCell ref="E83:AM83"/>
    <mergeCell ref="AP11:AR11"/>
    <mergeCell ref="AC76:AD76"/>
    <mergeCell ref="D78:D79"/>
    <mergeCell ref="G12:V12"/>
    <mergeCell ref="AN8:AS8"/>
    <mergeCell ref="Y12:AM12"/>
    <mergeCell ref="V6:W6"/>
    <mergeCell ref="W43:X43"/>
    <mergeCell ref="AN21:AO21"/>
    <mergeCell ref="U28:V28"/>
    <mergeCell ref="Y41:AM41"/>
    <mergeCell ref="AN23:AO23"/>
    <mergeCell ref="Y43:AM43"/>
    <mergeCell ref="S87:AH87"/>
    <mergeCell ref="M4:T4"/>
    <mergeCell ref="T54:T55"/>
    <mergeCell ref="AP51:AR51"/>
    <mergeCell ref="AN74:AO74"/>
    <mergeCell ref="AP65:AR65"/>
    <mergeCell ref="F34:G36"/>
    <mergeCell ref="AN76:AO76"/>
    <mergeCell ref="AP17:AR17"/>
    <mergeCell ref="W16:X16"/>
    <mergeCell ref="S95:AM95"/>
    <mergeCell ref="AN77:AO77"/>
    <mergeCell ref="AP75:AR75"/>
    <mergeCell ref="AN11:AO11"/>
    <mergeCell ref="W18:X18"/>
    <mergeCell ref="AP12:AR12"/>
    <mergeCell ref="W17:X17"/>
    <mergeCell ref="F9:F14"/>
    <mergeCell ref="G13:V13"/>
    <mergeCell ref="W11:X11"/>
    <mergeCell ref="F37:V37"/>
    <mergeCell ref="AP39:AR39"/>
    <mergeCell ref="AP14:AR14"/>
    <mergeCell ref="W19:X19"/>
    <mergeCell ref="H39:V39"/>
    <mergeCell ref="G42:G43"/>
    <mergeCell ref="AN24:AO24"/>
    <mergeCell ref="W15:AM15"/>
    <mergeCell ref="AC74:AD74"/>
    <mergeCell ref="AN26:AO26"/>
    <mergeCell ref="W12:X12"/>
    <mergeCell ref="AP25:AR25"/>
    <mergeCell ref="F65:AM65"/>
    <mergeCell ref="D87:Q87"/>
    <mergeCell ref="AN42:AO42"/>
    <mergeCell ref="AN17:AO17"/>
    <mergeCell ref="E49:AM49"/>
    <mergeCell ref="AP83:AR83"/>
    <mergeCell ref="H41:V41"/>
    <mergeCell ref="AN19:AO19"/>
    <mergeCell ref="AP20:AR20"/>
    <mergeCell ref="AA52:AB52"/>
    <mergeCell ref="R54:S55"/>
    <mergeCell ref="O6:S6"/>
    <mergeCell ref="V4:AN5"/>
    <mergeCell ref="AP22:AR22"/>
    <mergeCell ref="AP78:AR78"/>
    <mergeCell ref="AN95:AO95"/>
    <mergeCell ref="AP80:AR80"/>
    <mergeCell ref="AN32:AO32"/>
    <mergeCell ref="I78:Q78"/>
    <mergeCell ref="AN47:AO47"/>
    <mergeCell ref="G23:V23"/>
    <mergeCell ref="AN37:AS37"/>
    <mergeCell ref="F73:H73"/>
    <mergeCell ref="W9:X9"/>
    <mergeCell ref="E74:E81"/>
    <mergeCell ref="AA55:AB55"/>
    <mergeCell ref="AM6:AN6"/>
    <mergeCell ref="F80:AM80"/>
    <mergeCell ref="G18:V18"/>
    <mergeCell ref="E26:AM26"/>
    <mergeCell ref="W38:X38"/>
    <mergeCell ref="W13:X13"/>
    <mergeCell ref="AP35:AR35"/>
    <mergeCell ref="W40:X40"/>
    <mergeCell ref="AP10:AR10"/>
    <mergeCell ref="F81:AM81"/>
    <mergeCell ref="Y20:AM20"/>
    <mergeCell ref="D52:D53"/>
    <mergeCell ref="Y14:AM14"/>
    <mergeCell ref="E50:AM50"/>
    <mergeCell ref="AP74:AR74"/>
    <mergeCell ref="AE73:AM73"/>
    <mergeCell ref="AN52:AO53"/>
    <mergeCell ref="AN45:AO45"/>
    <mergeCell ref="Y22:AM22"/>
    <mergeCell ref="AN20:AO20"/>
    <mergeCell ref="AN22:AO22"/>
    <mergeCell ref="AA53:AB53"/>
    <mergeCell ref="U55:Z55"/>
    <mergeCell ref="W31:AM31"/>
    <mergeCell ref="H42:V42"/>
    <mergeCell ref="M5:N6"/>
    <mergeCell ref="AP21:AR21"/>
    <mergeCell ref="B31:C58"/>
    <mergeCell ref="AP23:AR23"/>
    <mergeCell ref="E57:AM57"/>
    <mergeCell ref="G24:V24"/>
    <mergeCell ref="AN40:AO40"/>
    <mergeCell ref="AC52:AM52"/>
    <mergeCell ref="E52:Q53"/>
    <mergeCell ref="Y35:AM35"/>
    <mergeCell ref="P63:Q63"/>
    <mergeCell ref="Y10:AM10"/>
    <mergeCell ref="AH78:AM78"/>
    <mergeCell ref="E58:AM58"/>
    <mergeCell ref="AP34:AR34"/>
    <mergeCell ref="M28:O28"/>
    <mergeCell ref="AN35:AO35"/>
    <mergeCell ref="AP49:AR49"/>
    <mergeCell ref="AP36:AR36"/>
    <mergeCell ref="R52:S53"/>
    <mergeCell ref="W41:X41"/>
    <mergeCell ref="AP76:AR76"/>
    <mergeCell ref="F32:V32"/>
    <mergeCell ref="W28:AB28"/>
    <mergeCell ref="AK89:AS90"/>
    <mergeCell ref="AN46:AO46"/>
    <mergeCell ref="B88:AS88"/>
    <mergeCell ref="AA74:AB74"/>
    <mergeCell ref="AN48:AO48"/>
    <mergeCell ref="E45:AM45"/>
    <mergeCell ref="AA76:AB76"/>
    <mergeCell ref="S75:Z75"/>
    <mergeCell ref="AP29:AR29"/>
    <mergeCell ref="W37:AM37"/>
    <mergeCell ref="W34:X34"/>
    <mergeCell ref="W36:X36"/>
    <mergeCell ref="AP95:AR95"/>
    <mergeCell ref="Y34:AM34"/>
    <mergeCell ref="B65:C81"/>
    <mergeCell ref="AN41:AO41"/>
    <mergeCell ref="AN16:AO16"/>
    <mergeCell ref="AC53:AM53"/>
    <mergeCell ref="Y36:AM36"/>
    <mergeCell ref="AN51:AO51"/>
    <mergeCell ref="AN56:AO56"/>
    <mergeCell ref="AN43:AO43"/>
    <mergeCell ref="AC55:AM55"/>
    <mergeCell ref="AP57:AR57"/>
    <mergeCell ref="B8:C29"/>
    <mergeCell ref="AG76:AM76"/>
    <mergeCell ref="AP42:AR42"/>
    <mergeCell ref="AN73:AR73"/>
    <mergeCell ref="AN67:AO67"/>
    <mergeCell ref="AP58:AR58"/>
    <mergeCell ref="AN9:AO9"/>
    <mergeCell ref="AN69:AO69"/>
    <mergeCell ref="E48:AM48"/>
    <mergeCell ref="Y13:AM13"/>
    <mergeCell ref="AP70:AR70"/>
    <mergeCell ref="AP32:AR32"/>
    <mergeCell ref="X6:AK6"/>
    <mergeCell ref="AP47:AR47"/>
    <mergeCell ref="AN18:AO18"/>
    <mergeCell ref="J75:Q75"/>
    <mergeCell ref="W39:X39"/>
    <mergeCell ref="G10:V10"/>
    <mergeCell ref="W8:AM8"/>
    <mergeCell ref="AN57:AO57"/>
    <mergeCell ref="F70:AM70"/>
    <mergeCell ref="R78:Z78"/>
  </mergeCells>
  <conditionalFormatting sqref="R63:AF63">
    <cfRule type="cellIs" priority="4" operator="greaterThan" dxfId="1">
      <formula>0</formula>
    </cfRule>
  </conditionalFormatting>
  <conditionalFormatting sqref="X6">
    <cfRule type="colorScale" priority="1">
      <colorScale>
        <cfvo type="num" val="0"/>
        <cfvo type="num" val="1"/>
        <color rgb="FFFF0000"/>
        <color rgb="FFFFEF9C"/>
      </colorScale>
    </cfRule>
    <cfRule type="colorScale" priority="2">
      <colorScale>
        <cfvo type="num" val="0"/>
        <cfvo type="num" val="1"/>
        <color theme="0" tint="-0.0499893185216834"/>
        <color theme="3" tint="0.3999755851924192"/>
      </colorScale>
    </cfRule>
  </conditionalFormatting>
  <conditionalFormatting sqref="AP63:AR63">
    <cfRule type="cellIs" priority="3" operator="greaterThan" dxfId="0">
      <formula>0</formula>
    </cfRule>
  </conditionalFormatting>
  <dataValidations count="1">
    <dataValidation sqref="E3 X6 AM6 AO6" showDropDown="0" showInputMessage="0" showErrorMessage="0" allowBlank="1"/>
  </dataValidations>
  <pageMargins left="0.2362204724409449" right="0.2362204724409449" top="0.3543307086614174" bottom="0.3543307086614174" header="0.3149606299212598" footer="0.3149606299212598"/>
  <pageSetup orientation="portrait" paperSize="9" scale="47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C16" sqref="C16"/>
    </sheetView>
  </sheetViews>
  <sheetFormatPr baseColWidth="10" defaultRowHeight="15"/>
  <cols>
    <col width="16.85546875" customWidth="1" min="2" max="2"/>
  </cols>
  <sheetData>
    <row r="2" ht="18.75" customHeight="1">
      <c r="B2" s="314" t="inlineStr">
        <is>
          <t>MES</t>
        </is>
      </c>
      <c r="C2" s="315" t="inlineStr">
        <is>
          <t>AÑO</t>
        </is>
      </c>
      <c r="D2" s="317" t="n"/>
      <c r="E2" s="6" t="n"/>
    </row>
    <row r="3" ht="18.75" customHeight="1">
      <c r="B3" s="413" t="n"/>
      <c r="C3" s="315" t="n">
        <v>2024</v>
      </c>
      <c r="D3" s="315" t="n">
        <v>2025</v>
      </c>
      <c r="E3" s="315" t="n">
        <v>2026</v>
      </c>
    </row>
    <row r="4" ht="17.25" customHeight="1">
      <c r="B4" s="35" t="inlineStr">
        <is>
          <t>ENERO</t>
        </is>
      </c>
      <c r="C4" s="38" t="n">
        <v>64666</v>
      </c>
      <c r="D4" s="38" t="n">
        <v>67429</v>
      </c>
      <c r="E4" s="38" t="n">
        <v>69751</v>
      </c>
    </row>
    <row r="5" ht="17.25" customHeight="1">
      <c r="B5" s="35" t="inlineStr">
        <is>
          <t>FEBRERO</t>
        </is>
      </c>
      <c r="C5" s="38" t="n">
        <v>64343</v>
      </c>
      <c r="D5" s="38" t="n">
        <v>67294</v>
      </c>
      <c r="E5" s="38" t="n">
        <v>69611</v>
      </c>
    </row>
    <row r="6" ht="17.25" customHeight="1">
      <c r="B6" s="35" t="inlineStr">
        <is>
          <t>MARZO</t>
        </is>
      </c>
      <c r="C6" s="38" t="n">
        <v>64793</v>
      </c>
      <c r="D6" s="38" t="n">
        <v>68034</v>
      </c>
      <c r="E6" s="38" t="n">
        <v>69889</v>
      </c>
    </row>
    <row r="7" ht="17.25" customHeight="1">
      <c r="B7" s="35" t="inlineStr">
        <is>
          <t>ABRIL</t>
        </is>
      </c>
      <c r="C7" s="38" t="n">
        <v>65182</v>
      </c>
      <c r="D7" s="38" t="n">
        <v>68306</v>
      </c>
      <c r="E7" s="38" t="n">
        <v>69889</v>
      </c>
    </row>
    <row r="8" ht="17.25" customHeight="1">
      <c r="B8" s="35" t="inlineStr">
        <is>
          <t>MAYO</t>
        </is>
      </c>
      <c r="C8" s="38" t="n">
        <v>65443</v>
      </c>
      <c r="D8" s="38" t="n">
        <v>68648</v>
      </c>
      <c r="E8" s="38" t="n">
        <v>70588</v>
      </c>
    </row>
    <row r="9" ht="17.25" customHeight="1">
      <c r="B9" s="35" t="inlineStr">
        <is>
          <t>JUNIO</t>
        </is>
      </c>
      <c r="C9" s="38" t="n">
        <v>65770</v>
      </c>
      <c r="D9" s="38" t="n">
        <v>68785</v>
      </c>
      <c r="E9" s="38" t="n">
        <v>71506</v>
      </c>
    </row>
    <row r="10" ht="17.25" customHeight="1">
      <c r="B10" s="35" t="inlineStr">
        <is>
          <t>JULIO</t>
        </is>
      </c>
      <c r="C10" s="38" t="n">
        <v>65967</v>
      </c>
      <c r="D10" s="38" t="n">
        <v>68923</v>
      </c>
      <c r="E10" s="38" t="n">
        <v>71649</v>
      </c>
    </row>
    <row r="11" ht="17.25" customHeight="1">
      <c r="B11" s="35" t="inlineStr">
        <is>
          <t>AGOSTO</t>
        </is>
      </c>
      <c r="C11" s="38" t="n">
        <v>65901</v>
      </c>
      <c r="D11" s="38" t="n">
        <v>68647</v>
      </c>
      <c r="E11" s="38" t="n">
        <v>71649</v>
      </c>
    </row>
    <row r="12" ht="17.25" customHeight="1">
      <c r="B12" s="35" t="inlineStr">
        <is>
          <t>SEPTIEMBRE</t>
        </is>
      </c>
      <c r="C12" s="38" t="n">
        <v>66362</v>
      </c>
      <c r="D12" s="38" t="n">
        <v>69265</v>
      </c>
      <c r="E12" s="38" t="n"/>
    </row>
    <row r="13" ht="17.25" customHeight="1">
      <c r="B13" s="35" t="inlineStr">
        <is>
          <t>OCTUBRE</t>
        </is>
      </c>
      <c r="C13" s="38" t="n">
        <v>66561</v>
      </c>
      <c r="D13" s="38" t="n">
        <v>69265</v>
      </c>
      <c r="E13" s="38" t="n"/>
    </row>
    <row r="14" ht="17.25" customHeight="1">
      <c r="B14" s="35" t="inlineStr">
        <is>
          <t>NOVIEMBRE</t>
        </is>
      </c>
      <c r="C14" s="38" t="n">
        <v>66628</v>
      </c>
      <c r="D14" s="38" t="n">
        <v>69542</v>
      </c>
      <c r="E14" s="38" t="n"/>
    </row>
    <row r="15" ht="17.25" customHeight="1">
      <c r="B15" s="35" t="inlineStr">
        <is>
          <t>DICIEMBRE</t>
        </is>
      </c>
      <c r="C15" s="38" t="n">
        <v>69294</v>
      </c>
      <c r="D15" s="38" t="n">
        <v>69542</v>
      </c>
      <c r="E15" s="38" t="n"/>
    </row>
    <row r="16" ht="17.25" customHeight="1">
      <c r="B16" s="35" t="inlineStr">
        <is>
          <t>ENERO</t>
        </is>
      </c>
      <c r="C16" s="38" t="n"/>
      <c r="D16" s="38" t="n"/>
      <c r="E16" s="38" t="n"/>
    </row>
  </sheetData>
  <mergeCells count="2">
    <mergeCell ref="C2:E2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336" t="inlineStr">
        <is>
          <t>Empresa (ficticia)</t>
        </is>
      </c>
      <c r="B1" s="414" t="inlineStr">
        <is>
          <t>Silvestres del Ñuble SpA (ficticia)</t>
        </is>
      </c>
    </row>
    <row r="2">
      <c r="A2" s="336" t="inlineStr">
        <is>
          <t>RUT (ficticio)</t>
        </is>
      </c>
      <c r="B2" s="414" t="inlineStr">
        <is>
          <t>76.123.456-0</t>
        </is>
      </c>
    </row>
    <row r="3">
      <c r="A3" s="336" t="inlineStr">
        <is>
          <t>Período</t>
        </is>
      </c>
      <c r="B3" s="414" t="inlineStr">
        <is>
          <t>Octubre 2026</t>
        </is>
      </c>
    </row>
    <row r="4">
      <c r="A4" s="336" t="inlineStr">
        <is>
          <t>Tasa de IVA</t>
        </is>
      </c>
      <c r="B4" s="415" t="n">
        <v>0.19</v>
      </c>
    </row>
    <row r="5">
      <c r="A5" s="336" t="inlineStr">
        <is>
          <t>Retención del IVA (1 = total; Res. Ex. SII 4095/2000)</t>
        </is>
      </c>
      <c r="B5" s="415" t="n">
        <v>1</v>
      </c>
    </row>
    <row r="6">
      <c r="A6" s="336" t="inlineStr">
        <is>
          <t>Margen de ganancia sobre el costo</t>
        </is>
      </c>
      <c r="B6" s="415" t="n">
        <v>0.4</v>
      </c>
    </row>
    <row r="7">
      <c r="A7" s="336" t="inlineStr">
        <is>
          <t>Integrantes</t>
        </is>
      </c>
      <c r="B7" s="414" t="inlineStr">
        <is>
          <t>Matius Loyola, Diego Quintana, Joaquín Verdejo</t>
        </is>
      </c>
    </row>
    <row r="9">
      <c r="A9" t="inlineStr">
        <is>
          <t>Datos inventados. Celdas azules = datos que puedes cambiar; las planillas se recalculan solas.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14" customWidth="1" min="4" max="4"/>
    <col width="22" customWidth="1" min="5" max="5"/>
    <col width="8" customWidth="1" min="6" max="6"/>
    <col width="12" customWidth="1" min="7" max="7"/>
    <col width="14" customWidth="1" min="8" max="8"/>
    <col width="12" customWidth="1" min="9" max="9"/>
    <col width="14" customWidth="1" min="10" max="10"/>
    <col width="16" customWidth="1" min="11" max="11"/>
    <col width="18" customWidth="1" min="12" max="12"/>
  </cols>
  <sheetData>
    <row r="1">
      <c r="A1" s="336" t="inlineStr">
        <is>
          <t>FACTURAS DE COMPRA (DTE 46) POR CAMBIO DE SUJETO: Silvestres del Ñuble SpA (ficticia)</t>
        </is>
      </c>
    </row>
    <row r="4">
      <c r="A4" s="416" t="inlineStr">
        <is>
          <t>Folio</t>
        </is>
      </c>
      <c r="B4" s="416" t="inlineStr">
        <is>
          <t>Fecha</t>
        </is>
      </c>
      <c r="C4" s="416" t="inlineStr">
        <is>
          <t>Proveedor</t>
        </is>
      </c>
      <c r="D4" s="416" t="inlineStr">
        <is>
          <t>RUT</t>
        </is>
      </c>
      <c r="E4" s="416" t="inlineStr">
        <is>
          <t>Producto</t>
        </is>
      </c>
      <c r="F4" s="416" t="inlineStr">
        <is>
          <t>Kilos</t>
        </is>
      </c>
      <c r="G4" s="416" t="inlineStr">
        <is>
          <t>Precio por kilo</t>
        </is>
      </c>
      <c r="H4" s="416" t="inlineStr">
        <is>
          <t>Neto</t>
        </is>
      </c>
      <c r="I4" s="416" t="inlineStr">
        <is>
          <t>IVA 19 %</t>
        </is>
      </c>
      <c r="J4" s="416" t="inlineStr">
        <is>
          <t>IVA retenido</t>
        </is>
      </c>
      <c r="K4" s="416" t="inlineStr">
        <is>
          <t>IVA que cobra el proveedor</t>
        </is>
      </c>
      <c r="L4" s="416" t="inlineStr">
        <is>
          <t>Total a pagar al proveedor</t>
        </is>
      </c>
    </row>
    <row r="5">
      <c r="A5" s="414" t="n">
        <v>201</v>
      </c>
      <c r="B5" s="417" t="n">
        <v>46297</v>
      </c>
      <c r="C5" s="414" t="inlineStr">
        <is>
          <t>Juan Pérez (recolector)</t>
        </is>
      </c>
      <c r="D5" s="414" t="inlineStr">
        <is>
          <t>11.111.111-1</t>
        </is>
      </c>
      <c r="E5" s="414" t="inlineStr">
        <is>
          <t>Rosa mosqueta</t>
        </is>
      </c>
      <c r="F5" s="418" t="n">
        <v>1200</v>
      </c>
      <c r="G5" s="418" t="n">
        <v>1500</v>
      </c>
      <c r="H5" s="47">
        <f>F5*G5</f>
        <v/>
      </c>
      <c r="I5" s="47">
        <f>ROUND(H5*Parámetros!$B$4,0)</f>
        <v/>
      </c>
      <c r="J5" s="47">
        <f>ROUND(I5*Parámetros!$B$5,0)</f>
        <v/>
      </c>
      <c r="K5" s="47">
        <f>I5-J5</f>
        <v/>
      </c>
      <c r="L5" s="47">
        <f>H5+K5</f>
        <v/>
      </c>
    </row>
    <row r="6">
      <c r="A6" s="414" t="n">
        <v>202</v>
      </c>
      <c r="B6" s="417" t="n">
        <v>46301</v>
      </c>
      <c r="C6" s="414" t="inlineStr">
        <is>
          <t>María Soto (recolectora)</t>
        </is>
      </c>
      <c r="D6" s="414" t="inlineStr">
        <is>
          <t>12.222.222-5</t>
        </is>
      </c>
      <c r="E6" s="414" t="inlineStr">
        <is>
          <t>Hongos</t>
        </is>
      </c>
      <c r="F6" s="418" t="n">
        <v>300</v>
      </c>
      <c r="G6" s="418" t="n">
        <v>4000</v>
      </c>
      <c r="H6" s="47">
        <f>F6*G6</f>
        <v/>
      </c>
      <c r="I6" s="47">
        <f>ROUND(H6*Parámetros!$B$4,0)</f>
        <v/>
      </c>
      <c r="J6" s="47">
        <f>ROUND(I6*Parámetros!$B$5,0)</f>
        <v/>
      </c>
      <c r="K6" s="47">
        <f>I6-J6</f>
        <v/>
      </c>
      <c r="L6" s="47">
        <f>H6+K6</f>
        <v/>
      </c>
    </row>
    <row r="7">
      <c r="A7" s="414" t="n">
        <v>203</v>
      </c>
      <c r="B7" s="417" t="n">
        <v>46307</v>
      </c>
      <c r="C7" s="414" t="inlineStr">
        <is>
          <t>Pedro Núñez (recolector)</t>
        </is>
      </c>
      <c r="D7" s="414" t="inlineStr">
        <is>
          <t>13.333.333-9</t>
        </is>
      </c>
      <c r="E7" s="414" t="inlineStr">
        <is>
          <t>Mora</t>
        </is>
      </c>
      <c r="F7" s="418" t="n">
        <v>500</v>
      </c>
      <c r="G7" s="418" t="n">
        <v>1600</v>
      </c>
      <c r="H7" s="47">
        <f>F7*G7</f>
        <v/>
      </c>
      <c r="I7" s="47">
        <f>ROUND(H7*Parámetros!$B$4,0)</f>
        <v/>
      </c>
      <c r="J7" s="47">
        <f>ROUND(I7*Parámetros!$B$5,0)</f>
        <v/>
      </c>
      <c r="K7" s="47">
        <f>I7-J7</f>
        <v/>
      </c>
      <c r="L7" s="47">
        <f>H7+K7</f>
        <v/>
      </c>
    </row>
    <row r="8">
      <c r="A8" s="414" t="n">
        <v>204</v>
      </c>
      <c r="B8" s="417" t="n">
        <v>46314</v>
      </c>
      <c r="C8" s="414" t="inlineStr">
        <is>
          <t>Rosa Muñoz (recolectora)</t>
        </is>
      </c>
      <c r="D8" s="414" t="inlineStr">
        <is>
          <t>14.444.444-2</t>
        </is>
      </c>
      <c r="E8" s="414" t="inlineStr">
        <is>
          <t>Hojas de boldo</t>
        </is>
      </c>
      <c r="F8" s="418" t="n">
        <v>400</v>
      </c>
      <c r="G8" s="418" t="n">
        <v>1250</v>
      </c>
      <c r="H8" s="47">
        <f>F8*G8</f>
        <v/>
      </c>
      <c r="I8" s="47">
        <f>ROUND(H8*Parámetros!$B$4,0)</f>
        <v/>
      </c>
      <c r="J8" s="47">
        <f>ROUND(I8*Parámetros!$B$5,0)</f>
        <v/>
      </c>
      <c r="K8" s="47">
        <f>I8-J8</f>
        <v/>
      </c>
      <c r="L8" s="47">
        <f>H8+K8</f>
        <v/>
      </c>
    </row>
    <row r="9">
      <c r="A9" s="414" t="n">
        <v>205</v>
      </c>
      <c r="B9" s="417" t="n">
        <v>46321</v>
      </c>
      <c r="C9" s="414" t="inlineStr">
        <is>
          <t>Luis Araya (recolector)</t>
        </is>
      </c>
      <c r="D9" s="414" t="inlineStr">
        <is>
          <t>15.555.555-6</t>
        </is>
      </c>
      <c r="E9" s="414" t="inlineStr">
        <is>
          <t>Frutos de espino</t>
        </is>
      </c>
      <c r="F9" s="418" t="n">
        <v>900</v>
      </c>
      <c r="G9" s="418" t="n">
        <v>1500</v>
      </c>
      <c r="H9" s="47">
        <f>F9*G9</f>
        <v/>
      </c>
      <c r="I9" s="47">
        <f>ROUND(H9*Parámetros!$B$4,0)</f>
        <v/>
      </c>
      <c r="J9" s="47">
        <f>ROUND(I9*Parámetros!$B$5,0)</f>
        <v/>
      </c>
      <c r="K9" s="47">
        <f>I9-J9</f>
        <v/>
      </c>
      <c r="L9" s="47">
        <f>H9+K9</f>
        <v/>
      </c>
    </row>
    <row r="10">
      <c r="A10" s="336" t="inlineStr">
        <is>
          <t>TOTAL</t>
        </is>
      </c>
      <c r="H10" s="337">
        <f>SUM(H5:H9)</f>
        <v/>
      </c>
      <c r="I10" s="337">
        <f>SUM(I5:I9)</f>
        <v/>
      </c>
      <c r="J10" s="337">
        <f>SUM(J5:J9)</f>
        <v/>
      </c>
      <c r="K10" s="337">
        <f>SUM(K5:K9)</f>
        <v/>
      </c>
      <c r="L10" s="337">
        <f>SUM(L5:L9)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56" customWidth="1" min="4" max="4"/>
    <col width="14" customWidth="1" min="5" max="5"/>
    <col width="14" customWidth="1" min="6" max="6"/>
    <col width="12" customWidth="1" min="7" max="7"/>
  </cols>
  <sheetData>
    <row r="1">
      <c r="A1" s="419" t="inlineStr">
        <is>
          <t>Asiento</t>
        </is>
      </c>
      <c r="B1" s="419" t="inlineStr">
        <is>
          <t>Fecha</t>
        </is>
      </c>
      <c r="C1" s="419" t="inlineStr">
        <is>
          <t>Cuenta</t>
        </is>
      </c>
      <c r="D1" s="419" t="inlineStr">
        <is>
          <t>Glosa</t>
        </is>
      </c>
      <c r="E1" s="419" t="inlineStr">
        <is>
          <t>Debe</t>
        </is>
      </c>
      <c r="F1" s="419" t="inlineStr">
        <is>
          <t>Haber</t>
        </is>
      </c>
    </row>
    <row r="2">
      <c r="A2" t="n">
        <v>1</v>
      </c>
      <c r="B2" s="420" t="n">
        <v>46297</v>
      </c>
      <c r="C2" t="inlineStr">
        <is>
          <t>1.1.13 Inventario mercaderías</t>
        </is>
      </c>
      <c r="D2" t="inlineStr">
        <is>
          <t>Factura de compra N°201: Rosa mosqueta (IVA retenido)</t>
        </is>
      </c>
      <c r="E2" s="47">
        <f>'L. COMPRAS'!H7</f>
        <v/>
      </c>
    </row>
    <row r="3">
      <c r="A3" t="n">
        <v>1</v>
      </c>
      <c r="B3" s="420" t="n">
        <v>46297</v>
      </c>
      <c r="C3" t="inlineStr">
        <is>
          <t>1.1.04 IVA crédito fiscal</t>
        </is>
      </c>
      <c r="D3" t="inlineStr">
        <is>
          <t>Factura de compra N°201: Rosa mosqueta (IVA retenido)</t>
        </is>
      </c>
      <c r="E3" s="47">
        <f>'L. COMPRAS'!I7</f>
        <v/>
      </c>
    </row>
    <row r="4">
      <c r="A4" t="n">
        <v>1</v>
      </c>
      <c r="B4" s="420" t="n">
        <v>46297</v>
      </c>
      <c r="C4" t="inlineStr">
        <is>
          <t>2.1.01 Proveedores</t>
        </is>
      </c>
      <c r="D4" t="inlineStr">
        <is>
          <t>Factura de compra N°201: Rosa mosqueta (IVA retenido)</t>
        </is>
      </c>
      <c r="F4" s="47">
        <f>'L. COMPRAS'!J7-'L. COMPRAS'!K7</f>
        <v/>
      </c>
    </row>
    <row r="5">
      <c r="A5" t="n">
        <v>1</v>
      </c>
      <c r="B5" s="420" t="n">
        <v>46297</v>
      </c>
      <c r="C5" t="inlineStr">
        <is>
          <t>2.1.09 IVA retenido por pagar</t>
        </is>
      </c>
      <c r="D5" t="inlineStr">
        <is>
          <t>Factura de compra N°201: Rosa mosqueta (IVA retenido)</t>
        </is>
      </c>
      <c r="F5" s="47">
        <f>'L. COMPRAS'!K7</f>
        <v/>
      </c>
    </row>
    <row r="6">
      <c r="A6" t="n">
        <v>2</v>
      </c>
      <c r="B6" s="420" t="n">
        <v>46301</v>
      </c>
      <c r="C6" t="inlineStr">
        <is>
          <t>1.1.13 Inventario mercaderías</t>
        </is>
      </c>
      <c r="D6" t="inlineStr">
        <is>
          <t>Factura de compra N°202: Hongos (IVA retenido)</t>
        </is>
      </c>
      <c r="E6" s="47">
        <f>'L. COMPRAS'!H8</f>
        <v/>
      </c>
    </row>
    <row r="7">
      <c r="A7" t="n">
        <v>2</v>
      </c>
      <c r="B7" s="420" t="n">
        <v>46301</v>
      </c>
      <c r="C7" t="inlineStr">
        <is>
          <t>1.1.04 IVA crédito fiscal</t>
        </is>
      </c>
      <c r="D7" t="inlineStr">
        <is>
          <t>Factura de compra N°202: Hongos (IVA retenido)</t>
        </is>
      </c>
      <c r="E7" s="47">
        <f>'L. COMPRAS'!I8</f>
        <v/>
      </c>
    </row>
    <row r="8">
      <c r="A8" t="n">
        <v>2</v>
      </c>
      <c r="B8" s="420" t="n">
        <v>46301</v>
      </c>
      <c r="C8" t="inlineStr">
        <is>
          <t>2.1.01 Proveedores</t>
        </is>
      </c>
      <c r="D8" t="inlineStr">
        <is>
          <t>Factura de compra N°202: Hongos (IVA retenido)</t>
        </is>
      </c>
      <c r="F8" s="47">
        <f>'L. COMPRAS'!J8-'L. COMPRAS'!K8</f>
        <v/>
      </c>
    </row>
    <row r="9">
      <c r="A9" t="n">
        <v>2</v>
      </c>
      <c r="B9" s="420" t="n">
        <v>46301</v>
      </c>
      <c r="C9" t="inlineStr">
        <is>
          <t>2.1.09 IVA retenido por pagar</t>
        </is>
      </c>
      <c r="D9" t="inlineStr">
        <is>
          <t>Factura de compra N°202: Hongos (IVA retenido)</t>
        </is>
      </c>
      <c r="F9" s="47">
        <f>'L. COMPRAS'!K8</f>
        <v/>
      </c>
    </row>
    <row r="10">
      <c r="A10" t="n">
        <v>3</v>
      </c>
      <c r="B10" s="420" t="n">
        <v>46307</v>
      </c>
      <c r="C10" t="inlineStr">
        <is>
          <t>1.1.13 Inventario mercaderías</t>
        </is>
      </c>
      <c r="D10" t="inlineStr">
        <is>
          <t>Factura de compra N°203: Mora (IVA retenido)</t>
        </is>
      </c>
      <c r="E10" s="47">
        <f>'L. COMPRAS'!H9</f>
        <v/>
      </c>
    </row>
    <row r="11">
      <c r="A11" t="n">
        <v>3</v>
      </c>
      <c r="B11" s="420" t="n">
        <v>46307</v>
      </c>
      <c r="C11" t="inlineStr">
        <is>
          <t>1.1.04 IVA crédito fiscal</t>
        </is>
      </c>
      <c r="D11" t="inlineStr">
        <is>
          <t>Factura de compra N°203: Mora (IVA retenido)</t>
        </is>
      </c>
      <c r="E11" s="47">
        <f>'L. COMPRAS'!I9</f>
        <v/>
      </c>
    </row>
    <row r="12">
      <c r="A12" t="n">
        <v>3</v>
      </c>
      <c r="B12" s="420" t="n">
        <v>46307</v>
      </c>
      <c r="C12" t="inlineStr">
        <is>
          <t>2.1.01 Proveedores</t>
        </is>
      </c>
      <c r="D12" t="inlineStr">
        <is>
          <t>Factura de compra N°203: Mora (IVA retenido)</t>
        </is>
      </c>
      <c r="F12" s="47">
        <f>'L. COMPRAS'!J9-'L. COMPRAS'!K9</f>
        <v/>
      </c>
    </row>
    <row r="13">
      <c r="A13" t="n">
        <v>3</v>
      </c>
      <c r="B13" s="420" t="n">
        <v>46307</v>
      </c>
      <c r="C13" t="inlineStr">
        <is>
          <t>2.1.09 IVA retenido por pagar</t>
        </is>
      </c>
      <c r="D13" t="inlineStr">
        <is>
          <t>Factura de compra N°203: Mora (IVA retenido)</t>
        </is>
      </c>
      <c r="F13" s="47">
        <f>'L. COMPRAS'!K9</f>
        <v/>
      </c>
    </row>
    <row r="14">
      <c r="A14" t="n">
        <v>4</v>
      </c>
      <c r="B14" s="420" t="n">
        <v>46314</v>
      </c>
      <c r="C14" t="inlineStr">
        <is>
          <t>1.1.13 Inventario mercaderías</t>
        </is>
      </c>
      <c r="D14" t="inlineStr">
        <is>
          <t>Factura de compra N°204: Hojas de boldo (IVA retenido)</t>
        </is>
      </c>
      <c r="E14" s="47">
        <f>'L. COMPRAS'!H10</f>
        <v/>
      </c>
    </row>
    <row r="15">
      <c r="A15" t="n">
        <v>4</v>
      </c>
      <c r="B15" s="420" t="n">
        <v>46314</v>
      </c>
      <c r="C15" t="inlineStr">
        <is>
          <t>1.1.04 IVA crédito fiscal</t>
        </is>
      </c>
      <c r="D15" t="inlineStr">
        <is>
          <t>Factura de compra N°204: Hojas de boldo (IVA retenido)</t>
        </is>
      </c>
      <c r="E15" s="47">
        <f>'L. COMPRAS'!I10</f>
        <v/>
      </c>
    </row>
    <row r="16">
      <c r="A16" t="n">
        <v>4</v>
      </c>
      <c r="B16" s="420" t="n">
        <v>46314</v>
      </c>
      <c r="C16" t="inlineStr">
        <is>
          <t>2.1.01 Proveedores</t>
        </is>
      </c>
      <c r="D16" t="inlineStr">
        <is>
          <t>Factura de compra N°204: Hojas de boldo (IVA retenido)</t>
        </is>
      </c>
      <c r="F16" s="47">
        <f>'L. COMPRAS'!J10-'L. COMPRAS'!K10</f>
        <v/>
      </c>
    </row>
    <row r="17">
      <c r="A17" t="n">
        <v>4</v>
      </c>
      <c r="B17" s="420" t="n">
        <v>46314</v>
      </c>
      <c r="C17" t="inlineStr">
        <is>
          <t>2.1.09 IVA retenido por pagar</t>
        </is>
      </c>
      <c r="D17" t="inlineStr">
        <is>
          <t>Factura de compra N°204: Hojas de boldo (IVA retenido)</t>
        </is>
      </c>
      <c r="F17" s="47">
        <f>'L. COMPRAS'!K10</f>
        <v/>
      </c>
    </row>
    <row r="18">
      <c r="A18" t="n">
        <v>5</v>
      </c>
      <c r="B18" s="420" t="n">
        <v>46321</v>
      </c>
      <c r="C18" t="inlineStr">
        <is>
          <t>1.1.13 Inventario mercaderías</t>
        </is>
      </c>
      <c r="D18" t="inlineStr">
        <is>
          <t>Factura de compra N°205: Frutos de espino (IVA retenido)</t>
        </is>
      </c>
      <c r="E18" s="47">
        <f>'L. COMPRAS'!H11</f>
        <v/>
      </c>
    </row>
    <row r="19">
      <c r="A19" t="n">
        <v>5</v>
      </c>
      <c r="B19" s="420" t="n">
        <v>46321</v>
      </c>
      <c r="C19" t="inlineStr">
        <is>
          <t>1.1.04 IVA crédito fiscal</t>
        </is>
      </c>
      <c r="D19" t="inlineStr">
        <is>
          <t>Factura de compra N°205: Frutos de espino (IVA retenido)</t>
        </is>
      </c>
      <c r="E19" s="47">
        <f>'L. COMPRAS'!I11</f>
        <v/>
      </c>
    </row>
    <row r="20">
      <c r="A20" t="n">
        <v>5</v>
      </c>
      <c r="B20" s="420" t="n">
        <v>46321</v>
      </c>
      <c r="C20" t="inlineStr">
        <is>
          <t>2.1.01 Proveedores</t>
        </is>
      </c>
      <c r="D20" t="inlineStr">
        <is>
          <t>Factura de compra N°205: Frutos de espino (IVA retenido)</t>
        </is>
      </c>
      <c r="F20" s="47">
        <f>'L. COMPRAS'!J11-'L. COMPRAS'!K11</f>
        <v/>
      </c>
    </row>
    <row r="21">
      <c r="A21" t="n">
        <v>5</v>
      </c>
      <c r="B21" s="420" t="n">
        <v>46321</v>
      </c>
      <c r="C21" t="inlineStr">
        <is>
          <t>2.1.09 IVA retenido por pagar</t>
        </is>
      </c>
      <c r="D21" t="inlineStr">
        <is>
          <t>Factura de compra N°205: Frutos de espino (IVA retenido)</t>
        </is>
      </c>
      <c r="F21" s="47">
        <f>'L. COMPRAS'!K11</f>
        <v/>
      </c>
    </row>
    <row r="22">
      <c r="A22" t="n">
        <v>6</v>
      </c>
      <c r="B22" s="420" t="n">
        <v>46300</v>
      </c>
      <c r="C22" t="inlineStr">
        <is>
          <t>1.1.03 Clientes</t>
        </is>
      </c>
      <c r="D22" t="inlineStr">
        <is>
          <t>Factura de venta N°101 a Exportadora Andes SpA</t>
        </is>
      </c>
      <c r="E22" s="47">
        <f>'L. VENTAS'!J6</f>
        <v/>
      </c>
    </row>
    <row r="23">
      <c r="A23" t="n">
        <v>6</v>
      </c>
      <c r="B23" s="420" t="n">
        <v>46300</v>
      </c>
      <c r="C23" t="inlineStr">
        <is>
          <t>4.1.01 Ventas</t>
        </is>
      </c>
      <c r="D23" t="inlineStr">
        <is>
          <t>Factura de venta N°101 a Exportadora Andes SpA</t>
        </is>
      </c>
      <c r="F23" s="47">
        <f>'L. VENTAS'!H6</f>
        <v/>
      </c>
    </row>
    <row r="24">
      <c r="A24" t="n">
        <v>6</v>
      </c>
      <c r="B24" s="420" t="n">
        <v>46300</v>
      </c>
      <c r="C24" t="inlineStr">
        <is>
          <t>2.1.02 IVA débito fiscal</t>
        </is>
      </c>
      <c r="D24" t="inlineStr">
        <is>
          <t>Factura de venta N°101 a Exportadora Andes SpA</t>
        </is>
      </c>
      <c r="F24" s="47">
        <f>'L. VENTAS'!I6</f>
        <v/>
      </c>
    </row>
    <row r="25">
      <c r="A25" t="n">
        <v>7</v>
      </c>
      <c r="B25" s="420" t="n">
        <v>46304</v>
      </c>
      <c r="C25" t="inlineStr">
        <is>
          <t>1.1.03 Clientes</t>
        </is>
      </c>
      <c r="D25" t="inlineStr">
        <is>
          <t>Factura de venta N°102 a Agroindustrial Sur Ltda.</t>
        </is>
      </c>
      <c r="E25" s="47">
        <f>'L. VENTAS'!J7</f>
        <v/>
      </c>
    </row>
    <row r="26">
      <c r="A26" t="n">
        <v>7</v>
      </c>
      <c r="B26" s="420" t="n">
        <v>46304</v>
      </c>
      <c r="C26" t="inlineStr">
        <is>
          <t>4.1.01 Ventas</t>
        </is>
      </c>
      <c r="D26" t="inlineStr">
        <is>
          <t>Factura de venta N°102 a Agroindustrial Sur Ltda.</t>
        </is>
      </c>
      <c r="F26" s="47">
        <f>'L. VENTAS'!H7</f>
        <v/>
      </c>
    </row>
    <row r="27">
      <c r="A27" t="n">
        <v>7</v>
      </c>
      <c r="B27" s="420" t="n">
        <v>46304</v>
      </c>
      <c r="C27" t="inlineStr">
        <is>
          <t>2.1.02 IVA débito fiscal</t>
        </is>
      </c>
      <c r="D27" t="inlineStr">
        <is>
          <t>Factura de venta N°102 a Agroindustrial Sur Ltda.</t>
        </is>
      </c>
      <c r="F27" s="47">
        <f>'L. VENTAS'!I7</f>
        <v/>
      </c>
    </row>
    <row r="28">
      <c r="A28" t="n">
        <v>8</v>
      </c>
      <c r="B28" s="420" t="n">
        <v>46309</v>
      </c>
      <c r="C28" t="inlineStr">
        <is>
          <t>1.1.03 Clientes</t>
        </is>
      </c>
      <c r="D28" t="inlineStr">
        <is>
          <t>Factura de venta N°103 a Hierbas del Valle S.A.</t>
        </is>
      </c>
      <c r="E28" s="47">
        <f>'L. VENTAS'!J8</f>
        <v/>
      </c>
    </row>
    <row r="29">
      <c r="A29" t="n">
        <v>8</v>
      </c>
      <c r="B29" s="420" t="n">
        <v>46309</v>
      </c>
      <c r="C29" t="inlineStr">
        <is>
          <t>4.1.01 Ventas</t>
        </is>
      </c>
      <c r="D29" t="inlineStr">
        <is>
          <t>Factura de venta N°103 a Hierbas del Valle S.A.</t>
        </is>
      </c>
      <c r="F29" s="47">
        <f>'L. VENTAS'!H8</f>
        <v/>
      </c>
    </row>
    <row r="30">
      <c r="A30" t="n">
        <v>8</v>
      </c>
      <c r="B30" s="420" t="n">
        <v>46309</v>
      </c>
      <c r="C30" t="inlineStr">
        <is>
          <t>2.1.02 IVA débito fiscal</t>
        </is>
      </c>
      <c r="D30" t="inlineStr">
        <is>
          <t>Factura de venta N°103 a Hierbas del Valle S.A.</t>
        </is>
      </c>
      <c r="F30" s="47">
        <f>'L. VENTAS'!I8</f>
        <v/>
      </c>
    </row>
    <row r="31">
      <c r="A31" t="n">
        <v>9</v>
      </c>
      <c r="B31" s="420" t="n">
        <v>46316</v>
      </c>
      <c r="C31" t="inlineStr">
        <is>
          <t>1.1.03 Clientes</t>
        </is>
      </c>
      <c r="D31" t="inlineStr">
        <is>
          <t>Factura de venta N°104 a Comercial Maule SpA</t>
        </is>
      </c>
      <c r="E31" s="47">
        <f>'L. VENTAS'!J9</f>
        <v/>
      </c>
    </row>
    <row r="32">
      <c r="A32" t="n">
        <v>9</v>
      </c>
      <c r="B32" s="420" t="n">
        <v>46316</v>
      </c>
      <c r="C32" t="inlineStr">
        <is>
          <t>4.1.01 Ventas</t>
        </is>
      </c>
      <c r="D32" t="inlineStr">
        <is>
          <t>Factura de venta N°104 a Comercial Maule SpA</t>
        </is>
      </c>
      <c r="F32" s="47">
        <f>'L. VENTAS'!H9</f>
        <v/>
      </c>
    </row>
    <row r="33">
      <c r="A33" t="n">
        <v>9</v>
      </c>
      <c r="B33" s="420" t="n">
        <v>46316</v>
      </c>
      <c r="C33" t="inlineStr">
        <is>
          <t>2.1.02 IVA débito fiscal</t>
        </is>
      </c>
      <c r="D33" t="inlineStr">
        <is>
          <t>Factura de venta N°104 a Comercial Maule SpA</t>
        </is>
      </c>
      <c r="F33" s="47">
        <f>'L. VENTAS'!I9</f>
        <v/>
      </c>
    </row>
    <row r="34">
      <c r="A34" t="n">
        <v>10</v>
      </c>
      <c r="B34" s="420" t="n">
        <v>46323</v>
      </c>
      <c r="C34" t="inlineStr">
        <is>
          <t>1.1.03 Clientes</t>
        </is>
      </c>
      <c r="D34" t="inlineStr">
        <is>
          <t>Factura de venta N°105 a Distribuidora Bío Bío Ltda.</t>
        </is>
      </c>
      <c r="E34" s="47">
        <f>'L. VENTAS'!J10</f>
        <v/>
      </c>
    </row>
    <row r="35">
      <c r="A35" t="n">
        <v>10</v>
      </c>
      <c r="B35" s="420" t="n">
        <v>46323</v>
      </c>
      <c r="C35" t="inlineStr">
        <is>
          <t>4.1.01 Ventas</t>
        </is>
      </c>
      <c r="D35" t="inlineStr">
        <is>
          <t>Factura de venta N°105 a Distribuidora Bío Bío Ltda.</t>
        </is>
      </c>
      <c r="F35" s="47">
        <f>'L. VENTAS'!H10</f>
        <v/>
      </c>
    </row>
    <row r="36">
      <c r="A36" t="n">
        <v>10</v>
      </c>
      <c r="B36" s="420" t="n">
        <v>46323</v>
      </c>
      <c r="C36" t="inlineStr">
        <is>
          <t>2.1.02 IVA débito fiscal</t>
        </is>
      </c>
      <c r="D36" t="inlineStr">
        <is>
          <t>Factura de venta N°105 a Distribuidora Bío Bío Ltda.</t>
        </is>
      </c>
      <c r="F36" s="47">
        <f>'L. VENTAS'!I10</f>
        <v/>
      </c>
    </row>
    <row r="37">
      <c r="A37" t="n">
        <v>11</v>
      </c>
      <c r="B37" s="420" t="n">
        <v>46326</v>
      </c>
      <c r="C37" t="inlineStr">
        <is>
          <t>5.1.01 Costo de ventas</t>
        </is>
      </c>
      <c r="D37" t="inlineStr">
        <is>
          <t>Costo de las ventas del mes</t>
        </is>
      </c>
      <c r="E37" s="47">
        <f>'L. VENTAS'!P19</f>
        <v/>
      </c>
    </row>
    <row r="38">
      <c r="A38" t="n">
        <v>11</v>
      </c>
      <c r="B38" s="420" t="n">
        <v>46326</v>
      </c>
      <c r="C38" t="inlineStr">
        <is>
          <t>1.1.13 Inventario mercaderías</t>
        </is>
      </c>
      <c r="D38" t="inlineStr">
        <is>
          <t>Costo de las ventas del mes</t>
        </is>
      </c>
      <c r="F38" s="47">
        <f>'L. VENTAS'!P19</f>
        <v/>
      </c>
    </row>
    <row r="39">
      <c r="A39" t="n">
        <v>12</v>
      </c>
      <c r="B39" s="420" t="n">
        <v>46326</v>
      </c>
      <c r="C39" t="inlineStr">
        <is>
          <t>2.1.01 Proveedores</t>
        </is>
      </c>
      <c r="D39" t="inlineStr">
        <is>
          <t>Pago a los proveedores</t>
        </is>
      </c>
      <c r="E39" s="47">
        <f>'L. COMPRAS'!O16</f>
        <v/>
      </c>
    </row>
    <row r="40">
      <c r="A40" t="n">
        <v>12</v>
      </c>
      <c r="B40" s="420" t="n">
        <v>46326</v>
      </c>
      <c r="C40" t="inlineStr">
        <is>
          <t>1.1.02 Banco</t>
        </is>
      </c>
      <c r="D40" t="inlineStr">
        <is>
          <t>Pago a los proveedores</t>
        </is>
      </c>
      <c r="F40" s="47">
        <f>'L. COMPRAS'!O16</f>
        <v/>
      </c>
    </row>
    <row r="41">
      <c r="A41" t="n">
        <v>13</v>
      </c>
      <c r="B41" s="420" t="n">
        <v>46338</v>
      </c>
      <c r="C41" t="inlineStr">
        <is>
          <t>2.1.02 IVA débito fiscal</t>
        </is>
      </c>
      <c r="D41" t="inlineStr">
        <is>
          <t>F29: débito menos crédito, IVA retenido y PPM</t>
        </is>
      </c>
      <c r="E41" s="47">
        <f>'FORMULARIO 29'!AP16</f>
        <v/>
      </c>
    </row>
    <row r="42">
      <c r="A42" t="n">
        <v>13</v>
      </c>
      <c r="B42" s="420" t="n">
        <v>46338</v>
      </c>
      <c r="C42" t="inlineStr">
        <is>
          <t>2.1.09 IVA retenido por pagar</t>
        </is>
      </c>
      <c r="D42" t="inlineStr">
        <is>
          <t>F29: débito menos crédito, IVA retenido y PPM</t>
        </is>
      </c>
      <c r="E42" s="47">
        <f>'FORMULARIO 29'!AP97</f>
        <v/>
      </c>
    </row>
    <row r="43">
      <c r="A43" t="n">
        <v>13</v>
      </c>
      <c r="B43" s="420" t="n">
        <v>46338</v>
      </c>
      <c r="C43" t="inlineStr">
        <is>
          <t>1.1.05 PPM por recuperar</t>
        </is>
      </c>
      <c r="D43" t="inlineStr">
        <is>
          <t>F29: débito menos crédito, IVA retenido y PPM</t>
        </is>
      </c>
      <c r="E43" s="47">
        <f>'FORMULARIO 29'!AP74</f>
        <v/>
      </c>
    </row>
    <row r="44">
      <c r="A44" t="n">
        <v>13</v>
      </c>
      <c r="B44" s="420" t="n">
        <v>46338</v>
      </c>
      <c r="C44" t="inlineStr">
        <is>
          <t>1.1.04 IVA crédito fiscal</t>
        </is>
      </c>
      <c r="D44" t="inlineStr">
        <is>
          <t>F29: débito menos crédito, IVA retenido y PPM</t>
        </is>
      </c>
      <c r="F44" s="47">
        <f>'FORMULARIO 29'!AP58</f>
        <v/>
      </c>
    </row>
    <row r="45">
      <c r="A45" t="n">
        <v>13</v>
      </c>
      <c r="B45" s="420" t="n">
        <v>46338</v>
      </c>
      <c r="C45" t="inlineStr">
        <is>
          <t>1.1.02 Banco</t>
        </is>
      </c>
      <c r="D45" t="inlineStr">
        <is>
          <t>F29: débito menos crédito, IVA retenido y PPM</t>
        </is>
      </c>
      <c r="F45" s="47">
        <f>'FORMULARIO 29'!AP92</f>
        <v/>
      </c>
    </row>
    <row r="46">
      <c r="D46" s="336" t="inlineStr">
        <is>
          <t>SUMAS IGUALES</t>
        </is>
      </c>
      <c r="E46" s="47">
        <f>SUM(E2:E45)</f>
        <v/>
      </c>
      <c r="F46" s="47">
        <f>SUM(F2:F45)</f>
        <v/>
      </c>
      <c r="G46">
        <f>IF(E46=F46,"Cuadra","NO CUADRA")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30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</cols>
  <sheetData>
    <row r="1">
      <c r="A1" s="336" t="inlineStr">
        <is>
          <t>DECLARACIÓN JURADA F3500: informe mensual de retenedores de cambio de sujeto de IVA</t>
        </is>
      </c>
    </row>
    <row r="2">
      <c r="A2" t="inlineStr">
        <is>
          <t>Contribuyente: Silvestres del Ñuble SpA (ficticia), RUT 76.123.456-0 · Período: Octubre 2026 · Plazo: hasta el día 15 del mes siguiente (si no es hábil, el día hábil siguiente: 16-11-2026). Se presenta aunque no haya movimiento.</t>
        </is>
      </c>
    </row>
    <row r="4">
      <c r="A4" s="416" t="inlineStr">
        <is>
          <t>RUT del vendedor (retenido)</t>
        </is>
      </c>
      <c r="B4" s="416" t="inlineStr">
        <is>
          <t>Código de producto (F3500)</t>
        </is>
      </c>
      <c r="C4" s="416" t="inlineStr">
        <is>
          <t>Producto</t>
        </is>
      </c>
      <c r="D4" s="416" t="inlineStr">
        <is>
          <t>Tipo de documento</t>
        </is>
      </c>
      <c r="E4" s="416" t="inlineStr">
        <is>
          <t>N° documento</t>
        </is>
      </c>
      <c r="F4" s="416" t="inlineStr">
        <is>
          <t>Fecha</t>
        </is>
      </c>
      <c r="G4" s="416" t="inlineStr">
        <is>
          <t>Cantidad</t>
        </is>
      </c>
      <c r="H4" s="416" t="inlineStr">
        <is>
          <t>Unidad de medida (cód. 1)</t>
        </is>
      </c>
      <c r="I4" s="416" t="inlineStr">
        <is>
          <t>IVA retenido total</t>
        </is>
      </c>
    </row>
    <row r="5">
      <c r="A5">
        <f>'L. COMPRAS'!D7</f>
        <v/>
      </c>
      <c r="B5" t="n">
        <v>3101</v>
      </c>
      <c r="C5" t="inlineStr">
        <is>
          <t>Rosa mosqueta</t>
        </is>
      </c>
      <c r="D5" t="inlineStr">
        <is>
          <t>46 Factura de compra electrónica</t>
        </is>
      </c>
      <c r="E5">
        <f>'L. COMPRAS'!B7</f>
        <v/>
      </c>
      <c r="F5" s="420">
        <f>'L. COMPRAS'!A7</f>
        <v/>
      </c>
      <c r="G5" s="47">
        <f>'Facturas de compra'!F5</f>
        <v/>
      </c>
      <c r="H5" t="n">
        <v>1</v>
      </c>
      <c r="I5" s="47">
        <f>'L. COMPRAS'!K7</f>
        <v/>
      </c>
    </row>
    <row r="6">
      <c r="A6">
        <f>'L. COMPRAS'!D8</f>
        <v/>
      </c>
      <c r="B6" t="n">
        <v>3103</v>
      </c>
      <c r="C6" t="inlineStr">
        <is>
          <t>Hongos</t>
        </is>
      </c>
      <c r="D6" t="inlineStr">
        <is>
          <t>46 Factura de compra electrónica</t>
        </is>
      </c>
      <c r="E6">
        <f>'L. COMPRAS'!B8</f>
        <v/>
      </c>
      <c r="F6" s="420">
        <f>'L. COMPRAS'!A8</f>
        <v/>
      </c>
      <c r="G6" s="47">
        <f>'Facturas de compra'!F6</f>
        <v/>
      </c>
      <c r="H6" t="n">
        <v>1</v>
      </c>
      <c r="I6" s="47">
        <f>'L. COMPRAS'!K8</f>
        <v/>
      </c>
    </row>
    <row r="7">
      <c r="A7">
        <f>'L. COMPRAS'!D9</f>
        <v/>
      </c>
      <c r="B7" t="n">
        <v>3102</v>
      </c>
      <c r="C7" t="inlineStr">
        <is>
          <t>Mora</t>
        </is>
      </c>
      <c r="D7" t="inlineStr">
        <is>
          <t>46 Factura de compra electrónica</t>
        </is>
      </c>
      <c r="E7">
        <f>'L. COMPRAS'!B9</f>
        <v/>
      </c>
      <c r="F7" s="420">
        <f>'L. COMPRAS'!A9</f>
        <v/>
      </c>
      <c r="G7" s="47">
        <f>'Facturas de compra'!F7</f>
        <v/>
      </c>
      <c r="H7" t="n">
        <v>1</v>
      </c>
      <c r="I7" s="47">
        <f>'L. COMPRAS'!K9</f>
        <v/>
      </c>
    </row>
    <row r="8">
      <c r="A8">
        <f>'L. COMPRAS'!D10</f>
        <v/>
      </c>
      <c r="B8" t="n">
        <v>3105</v>
      </c>
      <c r="C8" t="inlineStr">
        <is>
          <t>Hojas de boldo</t>
        </is>
      </c>
      <c r="D8" t="inlineStr">
        <is>
          <t>46 Factura de compra electrónica</t>
        </is>
      </c>
      <c r="E8">
        <f>'L. COMPRAS'!B10</f>
        <v/>
      </c>
      <c r="F8" s="420">
        <f>'L. COMPRAS'!A10</f>
        <v/>
      </c>
      <c r="G8" s="47">
        <f>'Facturas de compra'!F8</f>
        <v/>
      </c>
      <c r="H8" t="n">
        <v>1</v>
      </c>
      <c r="I8" s="47">
        <f>'L. COMPRAS'!K10</f>
        <v/>
      </c>
    </row>
    <row r="9">
      <c r="A9">
        <f>'L. COMPRAS'!D11</f>
        <v/>
      </c>
      <c r="B9" t="n">
        <v>3104</v>
      </c>
      <c r="C9" t="inlineStr">
        <is>
          <t>Frutos de espino</t>
        </is>
      </c>
      <c r="D9" t="inlineStr">
        <is>
          <t>46 Factura de compra electrónica</t>
        </is>
      </c>
      <c r="E9">
        <f>'L. COMPRAS'!B11</f>
        <v/>
      </c>
      <c r="F9" s="420">
        <f>'L. COMPRAS'!A11</f>
        <v/>
      </c>
      <c r="G9" s="47">
        <f>'Facturas de compra'!F9</f>
        <v/>
      </c>
      <c r="H9" t="n">
        <v>1</v>
      </c>
      <c r="I9" s="47">
        <f>'L. COMPRAS'!K11</f>
        <v/>
      </c>
    </row>
    <row r="10">
      <c r="A10" t="inlineStr">
        <is>
          <t>TOTAL</t>
        </is>
      </c>
      <c r="I10" s="47">
        <f>SUM(I5:I9)</f>
        <v/>
      </c>
    </row>
    <row r="12">
      <c r="A12" t="inlineStr">
        <is>
          <t>Se informa operación por operación. Los facturadores electrónicos que documentan todo por ese medio y envían su libro de compras y ventas no están obligados a presentarla; aquí se presenta porque el profesor la pide. ⚠️ Verificar el formato vigente en sii.cl.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Alumno</dc:creator>
  <dcterms:created xmlns:dcterms="http://purl.org/dc/terms/" xmlns:xsi="http://www.w3.org/2001/XMLSchema-instance" xsi:type="dcterms:W3CDTF">2013-07-08T12:18:36Z</dcterms:created>
  <dcterms:modified xmlns:dcterms="http://purl.org/dc/terms/" xmlns:xsi="http://www.w3.org/2001/XMLSchema-instance" xsi:type="dcterms:W3CDTF">2026-10-16T23:54:03Z</dcterms:modified>
  <cp:lastModifiedBy>Insuco</cp:lastModifiedBy>
  <cp:lastPrinted>2024-09-27T16:21:46Z</cp:lastPrinted>
</cp:coreProperties>
</file>